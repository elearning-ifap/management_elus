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Registre MGT" sheetId="2" state="visible" r:id="rId4"/>
    <sheet name="Constats hors registre" sheetId="3" state="visible" r:id="rId5"/>
    <sheet name="Plan de lots" sheetId="4" state="visible" r:id="rId6"/>
    <sheet name="Base gelée SHA-256" sheetId="5" state="visible" r:id="rId7"/>
  </sheets>
  <definedNames>
    <definedName function="false" hidden="true" localSheetId="4" name="_xlnm._FilterDatabase" vbProcedure="false">'Base gelée SHA-256'!$A$1:$C$32</definedName>
    <definedName function="false" hidden="true" localSheetId="2" name="_xlnm._FilterDatabase" vbProcedure="false">'Constats hors registre'!$A$1:$G$9</definedName>
    <definedName function="false" hidden="true" localSheetId="3" name="_xlnm._FilterDatabase" vbProcedure="false">'Plan de lots'!$A$1:$E$7</definedName>
    <definedName function="false" hidden="true" localSheetId="1" name="_xlnm._FilterDatabase" vbProcedure="false">'Registre MGT'!$A$1:$H$58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<sst xmlns="http://schemas.openxmlformats.org/spreadsheetml/2006/main" count="622" uniqueCount="381">
  <si>
    <t xml:space="preserve">Pré-audit UX18I × Cahier des charges v1.0 — Manager ses collaborateurs en tant qu’élu</t>
  </si>
  <si>
    <t xml:space="preserve">Base gelée : MGT_Manager_collaborateurs_elus_UX18I_ACCESSIBILITE_OK.zip (socle officiel en remplacement de UX18H) — audit du 1er octobre 2026</t>
  </si>
  <si>
    <t xml:space="preserve">Statut</t>
  </si>
  <si>
    <t xml:space="preserve">Nb exigences</t>
  </si>
  <si>
    <t xml:space="preserve">À patcher</t>
  </si>
  <si>
    <t xml:space="preserve">À patcher — arbitrage requis</t>
  </si>
  <si>
    <t xml:space="preserve">À patcher — arbitrage technique</t>
  </si>
  <si>
    <t xml:space="preserve">Conforme sur l'ordre — patch lié</t>
  </si>
  <si>
    <t xml:space="preserve">Conforme — aucun patch</t>
  </si>
  <si>
    <t xml:space="preserve">Absorbé</t>
  </si>
  <si>
    <t xml:space="preserve">Verrou — à préserver</t>
  </si>
  <si>
    <t xml:space="preserve">Verrou — à localiser</t>
  </si>
  <si>
    <t xml:space="preserve">À arbitrer</t>
  </si>
  <si>
    <t xml:space="preserve">Ouvert — non localisé</t>
  </si>
  <si>
    <t xml:space="preserve">Bloqué — corpus manquant</t>
  </si>
  <si>
    <t xml:space="preserve">Recette</t>
  </si>
  <si>
    <t xml:space="preserve">Appliqué</t>
  </si>
  <si>
    <t xml:space="preserve">Total</t>
  </si>
  <si>
    <t xml:space="preserve">Lot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</si>
  <si>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</si>
  <si>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</si>
  <si>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</si>
  <si>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</si>
  <si>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</si>
  <si>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R</t>
  </si>
  <si>
    <t xml:space="preserve">NR</t>
  </si>
  <si>
    <t xml:space="preserve">—</t>
  </si>
  <si>
    <t xml:space="preserve">Légende : colonne « Décision IFAP » du registre à renseigner (Validé / À modifier / Commentaire). NR = contrôle de non-régression sans patch.</t>
  </si>
  <si>
    <t xml:space="preserve">ID</t>
  </si>
  <si>
    <t xml:space="preserve">Zone</t>
  </si>
  <si>
    <t xml:space="preserve">Cible UX18I</t>
  </si>
  <si>
    <t xml:space="preserve">Priorité CDC</t>
  </si>
  <si>
    <t xml:space="preserve">Statut pré-audit</t>
  </si>
  <si>
    <t xml:space="preserve">Constat et action prévue</t>
  </si>
  <si>
    <t xml:space="preserve">Décision IFAP</t>
  </si>
  <si>
    <t xml:space="preserve">MGT-01</t>
  </si>
  <si>
    <t xml:space="preserve">Accueil</t>
  </si>
  <si>
    <t xml:space="preserve">g-contrat / #mgt-parcours-clin-titre</t>
  </si>
  <si>
    <t xml:space="preserve">P1</t>
  </si>
  <si>
    <t xml:space="preserve">Titre h2 présent (l.3901) à taille standard de section. Agrandir via CSS ciblé sur l'ID, sans toucher au reste de g-contrat.</t>
  </si>
  <si>
    <t xml:space="preserve">MGT-02</t>
  </si>
  <si>
    <t xml:space="preserve">Accueil / défis</t>
  </si>
  <si>
    <t xml:space="preserve">g-contrat / mgt-defis-accueil</t>
  </si>
  <si>
    <t xml:space="preserve">P2</t>
  </si>
  <si>
    <t xml:space="preserve">Aucun pictogramme distinctif par défi repéré dans le code. Ajouter un repère léger par défi ; structure et libellés inchangés. Contrôle visuel iPad.</t>
  </si>
  <si>
    <t xml:space="preserve">MGT-03</t>
  </si>
  <si>
    <t xml:space="preserve">Tableau de bord</t>
  </si>
  <si>
    <t xml:space="preserve">mgt-tableau-defis</t>
  </si>
  <si>
    <t xml:space="preserve">VERROU</t>
  </si>
  <si>
    <t xml:space="preserve">Logique vert/jaune présente. Aucun patch. Test de non-régression après chaque lot.</t>
  </si>
  <si>
    <t xml:space="preserve">MGT-04</t>
  </si>
  <si>
    <t xml:space="preserve">Information initiale</t>
  </si>
  <si>
    <t xml:space="preserve">g-contrat, g-pre, g-post, 5 notes d'instantané</t>
  </si>
  <si>
    <t xml:space="preserve">Mention « déclaratif » en g-pre (l.3969) et g-post (l.4960), plus 5 rappels « Ces trois réponses sont conservées… » dans les instantanés. Les 5 rappels disparaissent avec MGT-49/25. Vérifier le doublon g-contrat « Ce que vous devez savoir » / g-pre.</t>
  </si>
  <si>
    <t xml:space="preserve">MGT-05</t>
  </si>
  <si>
    <t xml:space="preserve">Positionnement initial</t>
  </si>
  <si>
    <t xml:space="preserve">g-pre + radar</t>
  </si>
  <si>
    <t xml:space="preserve">Présent (6 dimensions). Aucun patch.</t>
  </si>
  <si>
    <t xml:space="preserve">MGT-06</t>
  </si>
  <si>
    <t xml:space="preserve">S1 visuel</t>
  </si>
  <si>
    <t xml:space="preserve">mod-s1-00 / 01</t>
  </si>
  <si>
    <t xml:space="preserve">« Thomas examine un dossier urgent.jpg » est utilisé. Aucune autre image « homme triste » identifiée dans S1. Confirmation visuelle à faire lors de la recette.</t>
  </si>
  <si>
    <t xml:space="preserve">MGT-07</t>
  </si>
  <si>
    <t xml:space="preserve">S1 Thomas</t>
  </si>
  <si>
    <t xml:space="preserve">écrans où Thomas porte la décision</t>
  </si>
  <si>
    <t xml:space="preserve">Seule une pastille « Thomas » répétée sur tous les écrans S1 ; pas de mini-carte canonique (parcours, besoin) au moment de décider. Créer le composant mini-carte et le placer sur les écrans de décision uniquement.</t>
  </si>
  <si>
    <t xml:space="preserve">MGT-08</t>
  </si>
  <si>
    <t xml:space="preserve">Personnages</t>
  </si>
  <si>
    <t xml:space="preserve">transversal</t>
  </si>
  <si>
    <t xml:space="preserve">Pastille personnage affichée sur 100 % des écrans S1–S5, y compris écrans de résultat de défi (mgt-resultat-defi-*). Conditionner sa présence.</t>
  </si>
  <si>
    <t xml:space="preserve">MGT-09</t>
  </si>
  <si>
    <t xml:space="preserve">S1 pédagogie</t>
  </si>
  <si>
    <t xml:space="preserve">mod-s1-01 → apports</t>
  </si>
  <si>
    <t xml:space="preserve">P0</t>
  </si>
  <si>
    <t xml:space="preserve">Ordre actuel déjà situation (00/01) → réaction (01b) → curseur (01c) → apports (01d/01e/02). Le seul écart est l'instantané intercalé dans 01b : traité par MGT-25.</t>
  </si>
  <si>
    <t xml:space="preserve">MGT-10</t>
  </si>
  <si>
    <t xml:space="preserve">Sources</t>
  </si>
  <si>
    <t xml:space="preserve">9 blocs visibles « Référence(s) scientifique(s)… » : g-pre, s1-01d, s1-06, s2-04a, s3-04c, s4-05c, s5-05c, g-fin (+ libellé CSS mgt-reference-label). Convertir en accordéon « Source » fermé, au plus près de l'apport.</t>
  </si>
  <si>
    <t xml:space="preserve">MGT-11</t>
  </si>
  <si>
    <t xml:space="preserve">fins de séquences</t>
  </si>
  <si>
    <t xml:space="preserve">Références répétées en fin de séquence : s1-06 (Lewin, déjà en s1-01d), s2-06 (Belbin/Bauer, déjà en s2-04a), s3-05 (Baumeister). Une seule occurrence par usage.</t>
  </si>
  <si>
    <t xml:space="preserve">MGT-12</t>
  </si>
  <si>
    <t xml:space="preserve">S1 wording</t>
  </si>
  <si>
    <t xml:space="preserve">mod-s1-01e</t>
  </si>
  <si>
    <t xml:space="preserve">Occurrence exacte l.4072 : « Ce module vous appartient plus que les précédents : il repose sur des questions… ». Remplacer par la formulation cible.</t>
  </si>
  <si>
    <t xml:space="preserve">MGT-13</t>
  </si>
  <si>
    <t xml:space="preserve">S1 repères</t>
  </si>
  <si>
    <t xml:space="preserve">S1</t>
  </si>
  <si>
    <t xml:space="preserve">Traité par le composant commun des 6 repères (MGT-57).</t>
  </si>
  <si>
    <t xml:space="preserve">MGT-14</t>
  </si>
  <si>
    <t xml:space="preserve">Grammaire</t>
  </si>
  <si>
    <t xml:space="preserve">Surtitres hétérogènes : « Premiers repères », « Deuxième repère », « Trois repères rapides », « Pause de consolidation », « Comparaison réflexive », « On vérifie dans la vraie vie »… À aligner sur les 6 repères.</t>
  </si>
  <si>
    <t xml:space="preserve">MGT-15</t>
  </si>
  <si>
    <t xml:space="preserve">Repères à emporter</t>
  </si>
  <si>
    <t xml:space="preserve">Mesure texte à 64–68ch. Élargir les blocs de synthèse (~760 px), contrôle desktop + iPad.</t>
  </si>
  <si>
    <t xml:space="preserve">MGT-16</t>
  </si>
  <si>
    <t xml:space="preserve">S1 cohérence</t>
  </si>
  <si>
    <t xml:space="preserve">mod-s1-02</t>
  </si>
  <si>
    <t xml:space="preserve">Constat : mod-s1-02 contient « Une situation avec Léon » (Léon prépare une commission…). Remplacer par Thomas en conservant le fond.</t>
  </si>
  <si>
    <t xml:space="preserve">MGT-17</t>
  </si>
  <si>
    <t xml:space="preserve">S1 interaction</t>
  </si>
  <si>
    <t xml:space="preserve">mod-s1-02 « Que clarifiez-vous ? »</t>
  </si>
  <si>
    <t xml:space="preserve">Fausse interaction confirmée : bouton « Voir le repère » qui dévoile une réponse. Transformer en petite décision (2–3 options) → validation → feedback.</t>
  </si>
  <si>
    <t xml:space="preserve">MGT-18</t>
  </si>
  <si>
    <t xml:space="preserve">S1 quatre rôles</t>
  </si>
  <si>
    <t xml:space="preserve">Pictogramme isolé « 4 » avant « Quatre rôles distincts coexistent… ». Supprimer le chiffre isolé ou le remplacer par le libellé « 4 rôles distincts ».</t>
  </si>
  <si>
    <t xml:space="preserve">MGT-19</t>
  </si>
  <si>
    <t xml:space="preserve">S1 classement</t>
  </si>
  <si>
    <t xml:space="preserve">mod-s1-03 (triCartes)</t>
  </si>
  <si>
    <t xml:space="preserve">Le tri S1 n'a pas de grille de solution (mode visualSummary) : aucune erreur n'est identifiée. Or la consigne dit « plusieurs répartitions défendables ». Il faut une grille attendue validée (issue du corpus) pour signaler les écarts sans contredire la consigne.</t>
  </si>
  <si>
    <t xml:space="preserve">MGT-20</t>
  </si>
  <si>
    <t xml:space="preserve">S1 bilan</t>
  </si>
  <si>
    <t xml:space="preserve">mod-s1-04b</t>
  </si>
  <si>
    <t xml:space="preserve">Écran « Petit bilan prémonitoire » avec « Votre point de départ —/10 ». Retirer du flux (data-go et sommaire à recâbler) ; contenus des 3 questions tracés dans la matrice.</t>
  </si>
  <si>
    <t xml:space="preserve">MGT-21</t>
  </si>
  <si>
    <t xml:space="preserve">S1 slider final</t>
  </si>
  <si>
    <t xml:space="preserve">Curseur « Votre prochain réglage /10 » (l.4205). Supprimé avec MGT-20. Vérifier qu'aucune donnée SCORM/reprise n'en dépend (plan d'action g-fin, g-post).</t>
  </si>
  <si>
    <t xml:space="preserve">MGT-22</t>
  </si>
  <si>
    <t xml:space="preserve">Fin S1</t>
  </si>
  <si>
    <t xml:space="preserve">mod-s1-06</t>
  </si>
  <si>
    <t xml:space="preserve">s1-06 empile : 3 réponses de l'instantané + petit bilan 3 questions + repères + essentiels + référence + fiche. À ramener au modèle commun.</t>
  </si>
  <si>
    <t xml:space="preserve">MGT-23</t>
  </si>
  <si>
    <t xml:space="preserve">s1-06 réaffiche les 3 questions de l'instantané, pas la première réaction (s1-01b). Rappeler la situation puis la réaction initiale (même clé de stockage s1-01, pas de nouveau stockage).</t>
  </si>
  <si>
    <t xml:space="preserve">MGT-24</t>
  </si>
  <si>
    <t xml:space="preserve">Remplacer le bilan par la seule question « Avec le recul, que feriez-vous aujourd'hui ? ».</t>
  </si>
  <si>
    <t xml:space="preserve">MGT-25</t>
  </si>
  <si>
    <t xml:space="preserve">mod-s1-01b + mod-s1-06</t>
  </si>
  <si>
    <t xml:space="preserve">Instantané l.4020 + bilan l.4241. Suppression des deux.</t>
  </si>
  <si>
    <t xml:space="preserve">MGT-26</t>
  </si>
  <si>
    <t xml:space="preserve">« Les repères à emporter » présents (3 items). Conserver ; « Les essentiels à retenir » à arbitrer (doublon ou repères ?).</t>
  </si>
  <si>
    <t xml:space="preserve">MGT-27</t>
  </si>
  <si>
    <t xml:space="preserve">fiche PDF</t>
  </si>
  <si>
    <t xml:space="preserve">Bouton « Ouvrir la fiche « Prendre ma place de manager » · PDF 2 pages » présent, non bloquant. 6 fiches liées (2 liens chacune).</t>
  </si>
  <si>
    <t xml:space="preserve">MGT-28</t>
  </si>
  <si>
    <t xml:space="preserve">Toutes séquences</t>
  </si>
  <si>
    <t xml:space="preserve">s1-06, s2-06, s3-05, s4-06, s5-06</t>
  </si>
  <si>
    <t xml:space="preserve">Structures actuelles hétérogènes (s4-06 et s5-06 contiennent un exercice « On vérifie dans la vraie vie » + grille d'auto-évaluation). Créer un modèle unique et l'appliquer aux 5 fins.</t>
  </si>
  <si>
    <t xml:space="preserve">MGT-29</t>
  </si>
  <si>
    <t xml:space="preserve">Élément incertain</t>
  </si>
  <si>
    <t xml:space="preserve">à localiser</t>
  </si>
  <si>
    <t xml:space="preserve">OUVERT</t>
  </si>
  <si>
    <t xml:space="preserve">Aucune occurrence de « Christesse », « Christ », « Mme », « Madame » ni « trist » dans le module (HTML + JS). Hypothèse à confirmer : transcription vocale de « tristesse » (lien avec MGT-06/MGT-30). Aucune suppression.</t>
  </si>
  <si>
    <t xml:space="preserve">MGT-30</t>
  </si>
  <si>
    <t xml:space="preserve">S2 visuels</t>
  </si>
  <si>
    <t xml:space="preserve">S2</t>
  </si>
  <si>
    <t xml:space="preserve">Portraits S2 : maeva-carnet-attentive, leon-agenda-dossier-pression (alt : « expression préoccupée »), thomas-recommandation-claire. Désigner nommément les visuels jugés trop tristes avant tout remplacement.</t>
  </si>
  <si>
    <t xml:space="preserve">MGT-31</t>
  </si>
  <si>
    <t xml:space="preserve">S2 Maëva</t>
  </si>
  <si>
    <t xml:space="preserve">mod-s2-01 / 01b / 02</t>
  </si>
  <si>
    <t xml:space="preserve">Pastille « Maëva » affichée dès s2-01, avant le choix. La retirer jusqu'à la sélection.</t>
  </si>
  <si>
    <t xml:space="preserve">MGT-32</t>
  </si>
  <si>
    <t xml:space="preserve">S2 profils</t>
  </si>
  <si>
    <t xml:space="preserve">JS l.6440–6442</t>
  </si>
  <si>
    <t xml:space="preserve">Constat : noms « Profil A/B/C » dans cartesProfils, affichés à l'apprenant. Remplacer par Léon / Maëva / Thomas avec descriptions alignées sur la bible.</t>
  </si>
  <si>
    <t xml:space="preserve">MGT-33</t>
  </si>
  <si>
    <t xml:space="preserve">S2 personnages</t>
  </si>
  <si>
    <t xml:space="preserve">transversal S2</t>
  </si>
  <si>
    <t xml:space="preserve">3 personnages uniquement dans le code. Aucun nouveau.</t>
  </si>
  <si>
    <t xml:space="preserve">MGT-34</t>
  </si>
  <si>
    <t xml:space="preserve">Personas</t>
  </si>
  <si>
    <t xml:space="preserve">Incohérences relevées : mod-s3-00 « Une demande vague oblige Thomas à deviner » alors que S3 est portée par Maëva ; Léon en S1 (MGT-16) ; Profil A « peu familier des dossiers budgétaires » à confronter à la bible de Léon. Audit exhaustif des occurrences à conduire.</t>
  </si>
  <si>
    <t xml:space="preserve">MGT-35</t>
  </si>
  <si>
    <t xml:space="preserve">S2 boussole</t>
  </si>
  <si>
    <t xml:space="preserve">mod-s2-02 (fonction boussole)</t>
  </si>
  <si>
    <t xml:space="preserve">Confirmé : après un clic, tous les boutons de l'axe passent disabled=true. Rendre le choix modifiable jusqu'à la validation, sans reset.</t>
  </si>
  <si>
    <t xml:space="preserve">MGT-36</t>
  </si>
  <si>
    <t xml:space="preserve">mod-s2-02</t>
  </si>
  <si>
    <t xml:space="preserve">Consigne actuelle : « Construisez votre boussole en répondant aux quatre questions. » Préciser « un seul choix par question » ; ajouter role=radiogroup/aria-checked.</t>
  </si>
  <si>
    <t xml:space="preserve">MGT-37</t>
  </si>
  <si>
    <t xml:space="preserve">S2 storytelling</t>
  </si>
  <si>
    <t xml:space="preserve">mod-s2-01 → suite</t>
  </si>
  <si>
    <t xml:space="preserve">Le choix de profil n'est ni mémorisé ni propagé (cartesProfils n'écrit rien). Propager en mémoire de session est simple ; conserver le choix à la reprise suppose une clé de persistance. §8.5 : pas de nouveau stockage sans décision technique séparée → arbitrage requis.</t>
  </si>
  <si>
    <t xml:space="preserve">MGT-38</t>
  </si>
  <si>
    <t xml:space="preserve">S2 personnalisation</t>
  </si>
  <si>
    <t xml:space="preserve">mod-s2-03, 03b, 04, 04a, 05, 06</t>
  </si>
  <si>
    <t xml:space="preserve">Maëva codée en dur : titre « Les premiers jours de Maëva », consignes, maevaFeedback (6 items). Paramétrer prénom, portrait, pronoms et micro-copie pour les 3 personnages ; fond pédagogique commun. Rédaction des variantes Léon/Thomas à valider.</t>
  </si>
  <si>
    <t xml:space="preserve">MGT-39</t>
  </si>
  <si>
    <t xml:space="preserve">S2 rappel persona</t>
  </si>
  <si>
    <t xml:space="preserve">écrans de décision S2</t>
  </si>
  <si>
    <t xml:space="preserve">Mini-carte du personnage choisi sur s2-03 et s2-03b.</t>
  </si>
  <si>
    <t xml:space="preserve">MGT-40</t>
  </si>
  <si>
    <t xml:space="preserve">S2 corpus</t>
  </si>
  <si>
    <t xml:space="preserve">mod-s2-04a + apports</t>
  </si>
  <si>
    <t xml:space="preserve">P0 BLOQUANT</t>
  </si>
  <si>
    <t xml:space="preserve">Impossible sans les documents sources de Marie-Noëlle ou la matrice (1 079 blocs). Le code porte 72 identifiants MNL distincts (MNL-0035 à MNL-0902) en attributs data-source-mnl : base de traçabilité exploitable.</t>
  </si>
  <si>
    <t xml:space="preserve">MGT-41</t>
  </si>
  <si>
    <t xml:space="preserve">écrans S2 reformulés</t>
  </si>
  <si>
    <t xml:space="preserve">Idem MGT-40.</t>
  </si>
  <si>
    <t xml:space="preserve">MGT-42</t>
  </si>
  <si>
    <t xml:space="preserve">S2 sources</t>
  </si>
  <si>
    <t xml:space="preserve">mod-s2-04a, mod-s2-06</t>
  </si>
  <si>
    <t xml:space="preserve">« Références scientifiques et professionnelles » (s2-04a l.4353) et « Références associées » (s2-06). Convertir en « Source ».</t>
  </si>
  <si>
    <t xml:space="preserve">MGT-43</t>
  </si>
  <si>
    <t xml:space="preserve">Jargon de production</t>
  </si>
  <si>
    <t xml:space="preserve">Occurrences visibles : « Repère(s) du corpus : MODULE 3/4/5… » (s3-00, s4-00, s5-00) ; « Le corpus de Marie-Noëlle… » dans une référence de s3-04c ; codes « E04 » (mod-e04) et « S6-01 » (g-post) en surtitre. Les attributs data-source-mnl, invisibles, sont conservés pour la traçabilité.</t>
  </si>
  <si>
    <t xml:space="preserve">MGT-44</t>
  </si>
  <si>
    <t xml:space="preserve">S2 complémentarité</t>
  </si>
  <si>
    <t xml:space="preserve">mod-s2-04a</t>
  </si>
  <si>
    <t xml:space="preserve">Repère à identifier précisément dans s2-04a et à figer (empreinte du bloc) avant tout lot touchant S2.</t>
  </si>
  <si>
    <t xml:space="preserve">MGT-45</t>
  </si>
  <si>
    <t xml:space="preserve">Fin S2</t>
  </si>
  <si>
    <t xml:space="preserve">mod-s2-06</t>
  </si>
  <si>
    <t xml:space="preserve">Petit bilan 3 questions (l.4381) + réaffichage instantané. Modèle commun ; repères et fiche conservés.</t>
  </si>
  <si>
    <t xml:space="preserve">MGT-46</t>
  </si>
  <si>
    <t xml:space="preserve">S2 repérage</t>
  </si>
  <si>
    <t xml:space="preserve">Surtitre « Séquence 2 » seul sur la plupart des écrans. Associer numéro + intitulé stable (via le composant 6 repères).</t>
  </si>
  <si>
    <t xml:space="preserve">MGT-47</t>
  </si>
  <si>
    <t xml:space="preserve">S3 ouverture</t>
  </si>
  <si>
    <t xml:space="preserve">mod-s3-00</t>
  </si>
  <si>
    <t xml:space="preserve">« Repère du corpus : MODULE 4 COMMUNIQUER COMME MANAGER » (l.4394).</t>
  </si>
  <si>
    <t xml:space="preserve">MGT-48</t>
  </si>
  <si>
    <t xml:space="preserve">S3 visuel</t>
  </si>
  <si>
    <t xml:space="preserve">mod-s3-00 / 01</t>
  </si>
  <si>
    <t xml:space="preserve">Aucun remplacement visuel.</t>
  </si>
  <si>
    <t xml:space="preserve">MGT-49</t>
  </si>
  <si>
    <t xml:space="preserve">S3 positionnement</t>
  </si>
  <si>
    <t xml:space="preserve">mod-s3-01</t>
  </si>
  <si>
    <t xml:space="preserve">Instantané l.4404. Suppression ; passage direct situation → réponse à « Prépare-moi quelque chose rapidement ».</t>
  </si>
  <si>
    <t xml:space="preserve">MGT-50</t>
  </si>
  <si>
    <t xml:space="preserve">S3 wording</t>
  </si>
  <si>
    <t xml:space="preserve">« …les mêmes 3 questions seront reposées en fin de module » (l.4405) + note l.4407. Supprimées avec MGT-49.</t>
  </si>
  <si>
    <t xml:space="preserve">MGT-51</t>
  </si>
  <si>
    <t xml:space="preserve">S3 simulateur</t>
  </si>
  <si>
    <t xml:space="preserve">mod-s3-02</t>
  </si>
  <si>
    <t xml:space="preserve">Ajouter la mini-carte canonique de Maëva au démarrage du simulateur 1.</t>
  </si>
  <si>
    <t xml:space="preserve">MGT-52</t>
  </si>
  <si>
    <t xml:space="preserve">Grammaire UX</t>
  </si>
  <si>
    <t xml:space="preserve">Découle de MGT-14/28/57 : mêmes composants pour une même fonction.</t>
  </si>
  <si>
    <t xml:space="preserve">MGT-53</t>
  </si>
  <si>
    <t xml:space="preserve">Nettoyage interne</t>
  </si>
  <si>
    <t xml:space="preserve">S3/S4/S5 + global</t>
  </si>
  <si>
    <t xml:space="preserve">Même périmètre que MGT-43 + recherche finale automatisée (corpus, MODULE, MNL visible, codes écran) sur le texte rendu.</t>
  </si>
  <si>
    <t xml:space="preserve">MGT-54</t>
  </si>
  <si>
    <t xml:space="preserve">iPad</t>
  </si>
  <si>
    <t xml:space="preserve">Captures automatisées 1024×768 / 768×1024 par séquence ; validation finale sur appareil réel par l'IFAP.</t>
  </si>
  <si>
    <t xml:space="preserve">MGT-55</t>
  </si>
  <si>
    <t xml:space="preserve">Couverture</t>
  </si>
  <si>
    <t xml:space="preserve">Matrice à recalculer sur la version livrée ; nécessite le référentiel des 1 079 blocs.</t>
  </si>
  <si>
    <t xml:space="preserve">MGT-56</t>
  </si>
  <si>
    <t xml:space="preserve">Processus</t>
  </si>
  <si>
    <t xml:space="preserve">Base UX18I gelée (empreintes SHA-256 de 30 fichiers). Chaque diff sera rattaché à un ID MGT ; diff non rattaché = rejet.</t>
  </si>
  <si>
    <t xml:space="preserve">MGT-57</t>
  </si>
  <si>
    <t xml:space="preserve">Repères pédagogiques</t>
  </si>
  <si>
    <t xml:space="preserve">transversal S1–S5</t>
  </si>
  <si>
    <t xml:space="preserve">P0 VERROU</t>
  </si>
  <si>
    <t xml:space="preserve">Composant inexistant. Créer un composant unique (6 étapes, sans score), injecté dans les 5 séquences.</t>
  </si>
  <si>
    <t xml:space="preserve">Objet</t>
  </si>
  <si>
    <t xml:space="preserve">Localisation</t>
  </si>
  <si>
    <t xml:space="preserve">Réf. CDC</t>
  </si>
  <si>
    <t xml:space="preserve">Constat</t>
  </si>
  <si>
    <t xml:space="preserve">Lot proposé</t>
  </si>
  <si>
    <t xml:space="preserve">H-01</t>
  </si>
  <si>
    <t xml:space="preserve">Typographie</t>
  </si>
  <si>
    <t xml:space="preserve">Token --fs-corps</t>
  </si>
  <si>
    <t xml:space="preserve">§7</t>
  </si>
  <si>
    <t xml:space="preserve">Corps de texte à 16 px (cible ≥ 17 px). ~150 déclarations entre 10 et 15 px dans la CSS.</t>
  </si>
  <si>
    <t xml:space="preserve">H-02</t>
  </si>
  <si>
    <t xml:space="preserve">Ordre S4</t>
  </si>
  <si>
    <t xml:space="preserve">mod-s4-02 avant 04/05b/05c</t>
  </si>
  <si>
    <t xml:space="preserve">§5</t>
  </si>
  <si>
    <t xml:space="preserve">Simulateur 2 placé avant les apports structurants (même défaut que S3, non listé en annexe C).</t>
  </si>
  <si>
    <t xml:space="preserve">H-03</t>
  </si>
  <si>
    <t xml:space="preserve">Ordre S5</t>
  </si>
  <si>
    <t xml:space="preserve">mod-s5-02 avant 05b/05c</t>
  </si>
  <si>
    <t xml:space="preserve">Simulateur 3 placé avant les apports sur recadrage et qualité relationnelle.</t>
  </si>
  <si>
    <t xml:space="preserve">H-04</t>
  </si>
  <si>
    <t xml:space="preserve">Instantanés S4/S5</t>
  </si>
  <si>
    <t xml:space="preserve">mod-s4-01 (l.4579), mod-s5-01 (l.4775)</t>
  </si>
  <si>
    <t xml:space="preserve">§8.2</t>
  </si>
  <si>
    <t xml:space="preserve">Instantanés présents aussi en S4 et S5 : couverts par l'esprit du CDC mais sans ID MGT dédié. Proposer de les rattacher à MGT-28/52.</t>
  </si>
  <si>
    <t xml:space="preserve">H-05</t>
  </si>
  <si>
    <t xml:space="preserve">Bilans S3–S5</t>
  </si>
  <si>
    <t xml:space="preserve">s3-05, s4-06, s5-06</t>
  </si>
  <si>
    <t xml:space="preserve">§8.4</t>
  </si>
  <si>
    <t xml:space="preserve">Petits bilans 3 questions en S3, S4, S5 (l.4546, 4740, 4911) : même rattachement à MGT-28.</t>
  </si>
  <si>
    <t xml:space="preserve">H-06</t>
  </si>
  <si>
    <t xml:space="preserve">Ressources</t>
  </si>
  <si>
    <t xml:space="preserve">img/ + data URI</t>
  </si>
  <si>
    <t xml:space="preserve">§10</t>
  </si>
  <si>
    <t xml:space="preserve">17 images sont embarquées en base64 dans index.html (1,8 Mo) ; seuls 10 fichiers /img sont appelés par chemin. Inventaire usage réel des 23 fichiers à établir avant tout remplacement.</t>
  </si>
  <si>
    <t xml:space="preserve">H-07</t>
  </si>
  <si>
    <t xml:space="preserve">Écran intro</t>
  </si>
  <si>
    <t xml:space="preserve">mod-e04</t>
  </si>
  <si>
    <t xml:space="preserve">Écran « Deux mandats, deux cadres d'action » avec surtitre « Avant de commencer · E04 » : code de production visible (rattaché à MGT-43).</t>
  </si>
  <si>
    <t xml:space="preserve">H-08</t>
  </si>
  <si>
    <t xml:space="preserve">Persistance</t>
  </si>
  <si>
    <t xml:space="preserve">clés de stockage des instantanés</t>
  </si>
  <si>
    <t xml:space="preserve">§8.5</t>
  </si>
  <si>
    <t xml:space="preserve">Supprimer les instantanés laisse des clés de reprise orphelines. Vérifier qu'aucune fonction (g-fin, plan d'action) ne les relit.</t>
  </si>
  <si>
    <t xml:space="preserve">Intitulé</t>
  </si>
  <si>
    <t xml:space="preserve">Exigences</t>
  </si>
  <si>
    <t xml:space="preserve">Risque de régression</t>
  </si>
  <si>
    <t xml:space="preserve">Prérequis / arbitrage</t>
  </si>
  <si>
    <t xml:space="preserve">Nettoyage et sources</t>
  </si>
  <si>
    <t xml:space="preserve">MGT-04, 10, 11, 12, 42, 43, 47, 53</t>
  </si>
  <si>
    <t xml:space="preserve">Faible</t>
  </si>
  <si>
    <t xml:space="preserve">Aucun</t>
  </si>
  <si>
    <t xml:space="preserve">MGT-07, 08, 16, 30, 31, 32, 34, 37, 38, 39, 51</t>
  </si>
  <si>
    <t xml:space="preserve">Élevé (S2)</t>
  </si>
  <si>
    <t xml:space="preserve">MGT-37 persistance ; MGT-30 visuels ; variantes Léon/Thomas à valider</t>
  </si>
  <si>
    <t xml:space="preserve">Grammaire et clôtures</t>
  </si>
  <si>
    <t xml:space="preserve">MGT-09, 13, 14, 20–25, 28, 45, 49, 50, 52, 57 + H-02 à H-05, H-08</t>
  </si>
  <si>
    <t xml:space="preserve">Élevé</t>
  </si>
  <si>
    <t xml:space="preserve">Modèle de fin commun à valider sur S1 avant généralisation</t>
  </si>
  <si>
    <t xml:space="preserve">Premiumisation CSS</t>
  </si>
  <si>
    <t xml:space="preserve">MGT-01, 02, 15, 18, 46 + H-01</t>
  </si>
  <si>
    <t xml:space="preserve">Moyen (visuel global)</t>
  </si>
  <si>
    <t xml:space="preserve">Captures avant/après tous écrans</t>
  </si>
  <si>
    <t xml:space="preserve">Interactions</t>
  </si>
  <si>
    <t xml:space="preserve">MGT-17, 19, 35, 36</t>
  </si>
  <si>
    <t xml:space="preserve">Moyen</t>
  </si>
  <si>
    <t xml:space="preserve">MGT-19 grille de solution</t>
  </si>
  <si>
    <t xml:space="preserve">Recette et livrables</t>
  </si>
  <si>
    <t xml:space="preserve">MGT-54, 55, 56</t>
  </si>
  <si>
    <t xml:space="preserve">Corpus pour MGT-55</t>
  </si>
  <si>
    <t xml:space="preserve">Type</t>
  </si>
  <si>
    <t xml:space="preserve">Chemin</t>
  </si>
  <si>
    <t xml:space="preserve">SHA-256</t>
  </si>
  <si>
    <t xml:space="preserve">ARCHIVE</t>
  </si>
  <si>
    <t xml:space="preserve">MGT_Manager_collaborateurs_elus_UX18I_ACCESSIBILITE_OK.zip</t>
  </si>
  <si>
    <t xml:space="preserve">638a7386ecda11815770c80a4addb7fd1be273a65570dbc42d46485a99ab329f</t>
  </si>
  <si>
    <t xml:space="preserve">fichier</t>
  </si>
  <si>
    <t xml:space="preserve">./img/Guide e-learning sur fond transparent.webp</t>
  </si>
  <si>
    <t xml:space="preserve">28641aaa62199191bbfd12cd84db3e1de05075b6748492ea2bd1773cbdb11b7a</t>
  </si>
  <si>
    <t xml:space="preserve">./img/Guide pensif, carnet contre lui.webp</t>
  </si>
  <si>
    <t xml:space="preserve">4a08998326231c7d4da60450a033c8a24677bb9b9532776bb63d95ffb0327e8b</t>
  </si>
  <si>
    <t xml:space="preserve">./img/MGT-IMG-CRISE-DOSSIER.jpeg</t>
  </si>
  <si>
    <t xml:space="preserve">01f173769064e25676dc5e0821cc9a1bfc84189bf1f856bb8f5c43d58c8c7b68</t>
  </si>
  <si>
    <t xml:space="preserve">./img/MGT-IMG-DEUX-FAUTEUILS.jpeg</t>
  </si>
  <si>
    <t xml:space="preserve">9051275cc5d3c50ef9230d4e6775afe51c81530ab90fefc66bcd306e0155748a</t>
  </si>
  <si>
    <t xml:space="preserve">./img/MGT-IMG-DOSSIER-TRAVAIL.jpeg</t>
  </si>
  <si>
    <t xml:space="preserve">6deb2bfa23c94fb5a5b4daaf7196403e2d4dc024384b074d490fdfdd26288064</t>
  </si>
  <si>
    <t xml:space="preserve">./img/MGT-IMG-ENTREES-SEQUENCES.jpg</t>
  </si>
  <si>
    <t xml:space="preserve">8abb435be7e63f10b60c6bcbf14106403446c3825614b144cad3dc1503e32175</t>
  </si>
  <si>
    <t xml:space="preserve">./img/MGT-IMG-SCENE-COMMISSION.jpeg</t>
  </si>
  <si>
    <t xml:space="preserve">aba53aab592e69c18a8c448b07d8c7114589337b278e5175cefa649f55c894a4</t>
  </si>
  <si>
    <t xml:space="preserve">./img/Thomas examine un dossier urgent.jpg</t>
  </si>
  <si>
    <t xml:space="preserve">7cad463061512ade7d5541979407a2c4793d3f176f27174ff02271907b0414e6</t>
  </si>
  <si>
    <t xml:space="preserve">./img/guide-pedagogique-carnet-ouvert.webp</t>
  </si>
  <si>
    <t xml:space="preserve">fd3a866b077f770d5c34f1b6e563f2dcf7512942c5a5a1c0fdfe88a6a0ab91cc</t>
  </si>
  <si>
    <t xml:space="preserve">./img/guide-souriant-pouce-leve.webp</t>
  </si>
  <si>
    <t xml:space="preserve">9e7da11e2398fdbbaaa2f8232cc0272a495d02a7a4c4076e7c474d83461eeef9</t>
  </si>
  <si>
    <t xml:space="preserve">./img/guide-vigilant-paume-levee.webp</t>
  </si>
  <si>
    <t xml:space="preserve">82dab9ce16133d92b44c617dafefb334a00cdaab4a923fae0381665b0f086c67</t>
  </si>
  <si>
    <t xml:space="preserve">./img/leon-agenda-dossier-pression.jpg</t>
  </si>
  <si>
    <t xml:space="preserve">9eda76bd0ef37e840c1da76d3a539b4043acd67387f0cb5a5ca9057ef7478ccf</t>
  </si>
  <si>
    <t xml:space="preserve">./img/leon-agenda.jpg</t>
  </si>
  <si>
    <t xml:space="preserve">./img/leon-desaccord-discret.jpg</t>
  </si>
  <si>
    <t xml:space="preserve">c5c91802920171b4469e022cb0f7e7432245a617efa1c450af5d947680e0687e</t>
  </si>
  <si>
    <t xml:space="preserve">./img/leon-dialogue-apaise.jpg</t>
  </si>
  <si>
    <t xml:space="preserve">7e1ff8b20185e2940d211b5354c0939146cd49cd2e508c392e51c8043479608d</t>
  </si>
  <si>
    <t xml:space="preserve">./img/maeva-carnet-attentive.jpg</t>
  </si>
  <si>
    <t xml:space="preserve">4555ff827de639d7ce9425363a771ed9454d3fa9fbdc02f3c7af01edef1077d4</t>
  </si>
  <si>
    <t xml:space="preserve">./img/maeva-checklist-tablette.jpg</t>
  </si>
  <si>
    <t xml:space="preserve">1628c4a4264248289a1f3bc59f7c480c1717fe479c9b69f58f0f72d28df8468f</t>
  </si>
  <si>
    <t xml:space="preserve">./img/maeva-recommandation-strategique.jpg</t>
  </si>
  <si>
    <t xml:space="preserve">d2fb3399aaaaeb41f5546d31274abe1aebe528f4ba349f306088d40cd44a48e7</t>
  </si>
  <si>
    <t xml:space="preserve">./img/maeva-trois-demandes.jpg</t>
  </si>
  <si>
    <t xml:space="preserve">33d2189df9a7eb4a0301f225e1f3db45366539494aa14f560e17ad97f6141a62</t>
  </si>
  <si>
    <t xml:space="preserve">./img/reunion-collaborative-dossier.jpg</t>
  </si>
  <si>
    <t xml:space="preserve">7ce0cf8607bcef1006a3f8f8a0565726c1dd45b1ddc35681a3b924e7245ff115</t>
  </si>
  <si>
    <t xml:space="preserve">./img/thomas-consigne-floue.jpg</t>
  </si>
  <si>
    <t xml:space="preserve">7cb7aab174519aa7e12e3ecf9544b794d6cbd5370f3a5ac1e44ff99897492c54</t>
  </si>
  <si>
    <t xml:space="preserve">./img/thomas-plan-action.jpg</t>
  </si>
  <si>
    <t xml:space="preserve">ead44d61bc1ae1ee7e34bc650c3f64e7740c6afde1eeb04154df674eb3e61699</t>
  </si>
  <si>
    <t xml:space="preserve">./img/thomas-recommandation-claire.jpg</t>
  </si>
  <si>
    <t xml:space="preserve">fdc159bdd73f54505b6a89bbfde4358049a6a4c720d18912099812ff19a224f2</t>
  </si>
  <si>
    <t xml:space="preserve">./index.html</t>
  </si>
  <si>
    <t xml:space="preserve">839a7c658788e43e376815dd78eccb748b67415e552a7a622f75ecc14ab06b5e</t>
  </si>
  <si>
    <t xml:space="preserve">./pdf/MGT_FICHE_01_Place_manager.pdf</t>
  </si>
  <si>
    <t xml:space="preserve">4533cfc4dd334b4a48c7988cc857d33d620252ec85cc9f8e16636ffa14fd6049</t>
  </si>
  <si>
    <t xml:space="preserve">./pdf/MGT_FICHE_02_Construire_equipe_pilote.pdf</t>
  </si>
  <si>
    <t xml:space="preserve">7c65715afeeb71b64f1de7e8b2112184bf39bd519ac069abad9156cf99f1a156</t>
  </si>
  <si>
    <t xml:space="preserve">./pdf/MGT_FICHE_03_Attente_claire.pdf</t>
  </si>
  <si>
    <t xml:space="preserve">b230d21a082efe79a1c388dfe2a25b5d519c643bd23406a1d2d45fbd923c3c44</t>
  </si>
  <si>
    <t xml:space="preserve">./pdf/MGT_FICHE_04_Autonomie_engagement.pdf</t>
  </si>
  <si>
    <t xml:space="preserve">faa47b35815b1c0c6cc18d20f8feb06b68feaddde3de899f21b294cfaa31a73c</t>
  </si>
  <si>
    <t xml:space="preserve">./pdf/MGT_FICHE_05_Reguler_tensions.pdf</t>
  </si>
  <si>
    <t xml:space="preserve">d343e5e9a04e08005b40378d004b33371756bfe2df83e373c3e5c60a1e317882</t>
  </si>
  <si>
    <t xml:space="preserve">./pdf/MGT_FICHE_06_Mots_qui_piquent_mots_qui_soutiennent.pdf</t>
  </si>
  <si>
    <t xml:space="preserve">2ef2b08d11aad69c06e61447c093ab194cddc2395b3368197a5ef716209aa97c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</si>
</sst>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CE8B2"/>
        </patternFill>
      </fill>
    </dxf>
    <dxf>
      <fill>
        <patternFill>
          <bgColor rgb="FFD4EDDA"/>
        </patternFill>
      </fill>
    </dxf>
    <dxf>
      <fill>
        <patternFill>
          <bgColor rgb="FFDCE6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CE8B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COUNTIF('Registre MGT'!E:E,A5)</f>
        <v>38</v>
      </c>
    </row>
    <row r="6" customFormat="false" ht="15" hidden="false" customHeight="false" outlineLevel="0" collapsed="false">
      <c r="A6" s="4" t="s">
        <v>5</v>
      </c>
      <c r="B6" s="4" t="n">
        <f aca="false">COUNTIF('Registre MGT'!E:E,A6)</f>
        <v>1</v>
      </c>
    </row>
    <row r="7" customFormat="false" ht="15" hidden="false" customHeight="false" outlineLevel="0" collapsed="false">
      <c r="A7" s="4" t="s">
        <v>6</v>
      </c>
      <c r="B7" s="4" t="n">
        <f aca="false">COUNTIF('Registre MGT'!E:E,A7)</f>
        <v>1</v>
      </c>
    </row>
    <row r="8" customFormat="false" ht="15" hidden="false" customHeight="false" outlineLevel="0" collapsed="false">
      <c r="A8" s="4" t="s">
        <v>7</v>
      </c>
      <c r="B8" s="4" t="n">
        <f aca="false">COUNTIF('Registre MGT'!E:E,A8)</f>
        <v>1</v>
      </c>
    </row>
    <row r="9" customFormat="false" ht="15" hidden="false" customHeight="false" outlineLevel="0" collapsed="false">
      <c r="A9" s="4" t="s">
        <v>8</v>
      </c>
      <c r="B9" s="4" t="n">
        <f aca="false">COUNTIF('Registre MGT'!E:E,A9)</f>
        <v>2</v>
      </c>
    </row>
    <row r="10" customFormat="false" ht="15" hidden="false" customHeight="false" outlineLevel="0" collapsed="false">
      <c r="A10" s="4" t="s">
        <v>9</v>
      </c>
      <c r="B10" s="4" t="n">
        <f aca="false">COUNTIF('Registre MGT'!E:E,A10)</f>
        <v>1</v>
      </c>
    </row>
    <row r="11" customFormat="false" ht="15" hidden="false" customHeight="false" outlineLevel="0" collapsed="false">
      <c r="A11" s="4" t="s">
        <v>10</v>
      </c>
      <c r="B11" s="4" t="n">
        <f aca="false">COUNTIF('Registre MGT'!E:E,A11)</f>
        <v>5</v>
      </c>
    </row>
    <row r="12" customFormat="false" ht="15" hidden="false" customHeight="false" outlineLevel="0" collapsed="false">
      <c r="A12" s="4" t="s">
        <v>11</v>
      </c>
      <c r="B12" s="4" t="n">
        <f aca="false">COUNTIF('Registre MGT'!E:E,A12)</f>
        <v>1</v>
      </c>
    </row>
    <row r="13" customFormat="false" ht="15" hidden="false" customHeight="false" outlineLevel="0" collapsed="false">
      <c r="A13" s="4" t="s">
        <v>12</v>
      </c>
      <c r="B13" s="4" t="n">
        <f aca="false">COUNTIF('Registre MGT'!E:E,A13)</f>
        <v>1</v>
      </c>
    </row>
    <row r="14" customFormat="false" ht="15" hidden="false" customHeight="false" outlineLevel="0" collapsed="false">
      <c r="A14" s="4" t="s">
        <v>13</v>
      </c>
      <c r="B14" s="4" t="n">
        <f aca="false">COUNTIF('Registre MGT'!E:E,A14)</f>
        <v>1</v>
      </c>
    </row>
    <row r="15" customFormat="false" ht="15" hidden="false" customHeight="false" outlineLevel="0" collapsed="false">
      <c r="A15" s="4" t="s">
        <v>14</v>
      </c>
      <c r="B15" s="4" t="n">
        <f aca="false">COUNTIF('Registre MGT'!E:E,A15)</f>
        <v>3</v>
      </c>
    </row>
    <row r="16" customFormat="false" ht="15" hidden="false" customHeight="false" outlineLevel="0" collapsed="false">
      <c r="A16" s="4" t="s">
        <v>15</v>
      </c>
      <c r="B16" s="4" t="n">
        <f aca="false">COUNTIF('Registre MGT'!E:E,A16)</f>
        <v>1</v>
      </c>
    </row>
    <row r="17" customFormat="false" ht="15" hidden="false" customHeight="false" outlineLevel="0" collapsed="false">
      <c r="A17" s="4" t="s">
        <v>16</v>
      </c>
      <c r="B17" s="4" t="n">
        <f aca="false">COUNTIF('Registre MGT'!E:E,A17)</f>
        <v>1</v>
      </c>
    </row>
    <row r="18" customFormat="false" ht="15" hidden="false" customHeight="false" outlineLevel="0" collapsed="false">
      <c r="A18" s="5" t="s">
        <v>17</v>
      </c>
      <c r="B18" s="5" t="n">
        <f aca="false">SUM(B5:B17)</f>
        <v>57</v>
      </c>
    </row>
    <row r="20" customFormat="false" ht="15" hidden="false" customHeight="false" outlineLevel="0" collapsed="false">
      <c r="A20" s="3" t="s">
        <v>18</v>
      </c>
      <c r="B20" s="3" t="s">
        <v>3</v>
      </c>
    </row>
    <row r="21" customFormat="false" ht="15" hidden="false" customHeight="false" outlineLevel="0" collapsed="false">
      <c r="A21" s="4" t="s">
        <v>19</v>
      </c>
      <c r="B21" s="4" t="n">
        <f aca="false">COUNTIF('Registre MGT'!F:F,A21)</f>
        <v>8</v>
      </c>
    </row>
    <row r="22" customFormat="false" ht="15" hidden="false" customHeight="false" outlineLevel="0" collapsed="false">
      <c r="A22" s="4" t="s">
        <v>20</v>
      </c>
      <c r="B22" s="4" t="n">
        <f aca="false">COUNTIF('Registre MGT'!F:F,A22)</f>
        <v>11</v>
      </c>
    </row>
    <row r="23" customFormat="false" ht="15" hidden="false" customHeight="false" outlineLevel="0" collapsed="false">
      <c r="A23" s="4" t="s">
        <v>21</v>
      </c>
      <c r="B23" s="4" t="n">
        <f aca="false">COUNTIF('Registre MGT'!F:F,A23)</f>
        <v>15</v>
      </c>
    </row>
    <row r="24" customFormat="false" ht="15" hidden="false" customHeight="false" outlineLevel="0" collapsed="false">
      <c r="A24" s="4" t="s">
        <v>22</v>
      </c>
      <c r="B24" s="4" t="n">
        <f aca="false">COUNTIF('Registre MGT'!F:F,A24)</f>
        <v>5</v>
      </c>
    </row>
    <row r="25" customFormat="false" ht="15" hidden="false" customHeight="false" outlineLevel="0" collapsed="false">
      <c r="A25" s="4" t="s">
        <v>23</v>
      </c>
      <c r="B25" s="4" t="n">
        <f aca="false">COUNTIF('Registre MGT'!F:F,A25)</f>
        <v>4</v>
      </c>
    </row>
    <row r="26" customFormat="false" ht="15" hidden="false" customHeight="false" outlineLevel="0" collapsed="false">
      <c r="A26" s="4" t="s">
        <v>24</v>
      </c>
      <c r="B26" s="4" t="n">
        <f aca="false">COUNTIF('Registre MGT'!F:F,A26)</f>
        <v>1</v>
      </c>
    </row>
    <row r="27" customFormat="false" ht="15" hidden="false" customHeight="false" outlineLevel="0" collapsed="false">
      <c r="A27" s="4" t="s">
        <v>25</v>
      </c>
      <c r="B27" s="4" t="n">
        <f aca="false">COUNTIF('Registre MGT'!F:F,A27)</f>
        <v>6</v>
      </c>
    </row>
    <row r="28" customFormat="false" ht="15" hidden="false" customHeight="false" outlineLevel="0" collapsed="false">
      <c r="A28" s="4" t="s">
        <v>26</v>
      </c>
      <c r="B28" s="4" t="n">
        <f aca="false">COUNTIF('Registre MGT'!F:F,A28)</f>
        <v>7</v>
      </c>
    </row>
    <row r="31" customFormat="false" ht="15" hidden="false" customHeight="false" outlineLevel="0" collapsed="false">
      <c r="A31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6"/>
    <col collapsed="false" customWidth="true" hidden="false" outlineLevel="0" max="7" min="7" style="0" width="80"/>
    <col collapsed="false" customWidth="true" hidden="false" outlineLevel="0" max="8" min="8" style="0" width="20"/>
  </cols>
  <sheetData>
    <row r="1" customFormat="false" ht="23.85" hidden="false" customHeight="fals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18</v>
      </c>
      <c r="G1" s="7" t="s">
        <v>33</v>
      </c>
      <c r="H1" s="7" t="s">
        <v>34</v>
      </c>
    </row>
    <row r="2" customFormat="false" ht="23.85" hidden="false" customHeight="false" outlineLevel="0" collapsed="false">
      <c r="A2" s="8" t="s">
        <v>35</v>
      </c>
      <c r="B2" s="8" t="s">
        <v>36</v>
      </c>
      <c r="C2" s="8" t="s">
        <v>37</v>
      </c>
      <c r="D2" s="8" t="s">
        <v>38</v>
      </c>
      <c r="E2" s="8" t="s">
        <v>4</v>
      </c>
      <c r="F2" s="8" t="s">
        <v>22</v>
      </c>
      <c r="G2" s="8" t="s">
        <v>39</v>
      </c>
      <c r="H2" s="8"/>
    </row>
    <row r="3" customFormat="false" ht="23.85" hidden="false" customHeight="false" outlineLevel="0" collapsed="false">
      <c r="A3" s="8" t="s">
        <v>40</v>
      </c>
      <c r="B3" s="8" t="s">
        <v>41</v>
      </c>
      <c r="C3" s="8" t="s">
        <v>42</v>
      </c>
      <c r="D3" s="8" t="s">
        <v>43</v>
      </c>
      <c r="E3" s="8" t="s">
        <v>4</v>
      </c>
      <c r="F3" s="8" t="s">
        <v>22</v>
      </c>
      <c r="G3" s="8" t="s">
        <v>44</v>
      </c>
      <c r="H3" s="8"/>
    </row>
    <row r="4" customFormat="false" ht="15" hidden="false" customHeight="false" outlineLevel="0" collapsed="false">
      <c r="A4" s="8" t="s">
        <v>45</v>
      </c>
      <c r="B4" s="8" t="s">
        <v>46</v>
      </c>
      <c r="C4" s="8" t="s">
        <v>47</v>
      </c>
      <c r="D4" s="8" t="s">
        <v>48</v>
      </c>
      <c r="E4" s="8" t="s">
        <v>10</v>
      </c>
      <c r="F4" s="8" t="s">
        <v>25</v>
      </c>
      <c r="G4" s="8" t="s">
        <v>49</v>
      </c>
      <c r="H4" s="8"/>
    </row>
    <row r="5" customFormat="false" ht="35.05" hidden="false" customHeight="false" outlineLevel="0" collapsed="false">
      <c r="A5" s="8" t="s">
        <v>50</v>
      </c>
      <c r="B5" s="8" t="s">
        <v>51</v>
      </c>
      <c r="C5" s="8" t="s">
        <v>52</v>
      </c>
      <c r="D5" s="8" t="s">
        <v>38</v>
      </c>
      <c r="E5" s="8" t="s">
        <v>4</v>
      </c>
      <c r="F5" s="8" t="s">
        <v>19</v>
      </c>
      <c r="G5" s="8" t="s">
        <v>53</v>
      </c>
      <c r="H5" s="8"/>
    </row>
    <row r="6" customFormat="false" ht="15" hidden="false" customHeight="false" outlineLevel="0" collapsed="false">
      <c r="A6" s="8" t="s">
        <v>54</v>
      </c>
      <c r="B6" s="8" t="s">
        <v>55</v>
      </c>
      <c r="C6" s="8" t="s">
        <v>56</v>
      </c>
      <c r="D6" s="8" t="s">
        <v>48</v>
      </c>
      <c r="E6" s="8" t="s">
        <v>10</v>
      </c>
      <c r="F6" s="8" t="s">
        <v>25</v>
      </c>
      <c r="G6" s="8" t="s">
        <v>57</v>
      </c>
      <c r="H6" s="8"/>
    </row>
    <row r="7" customFormat="false" ht="23.85" hidden="false" customHeight="false" outlineLevel="0" collapsed="false">
      <c r="A7" s="8" t="s">
        <v>58</v>
      </c>
      <c r="B7" s="8" t="s">
        <v>59</v>
      </c>
      <c r="C7" s="8" t="s">
        <v>60</v>
      </c>
      <c r="D7" s="8" t="s">
        <v>43</v>
      </c>
      <c r="E7" s="8" t="s">
        <v>8</v>
      </c>
      <c r="F7" s="8" t="s">
        <v>26</v>
      </c>
      <c r="G7" s="8" t="s">
        <v>61</v>
      </c>
      <c r="H7" s="8"/>
    </row>
    <row r="8" customFormat="false" ht="35.05" hidden="false" customHeight="false" outlineLevel="0" collapsed="false">
      <c r="A8" s="8" t="s">
        <v>62</v>
      </c>
      <c r="B8" s="8" t="s">
        <v>63</v>
      </c>
      <c r="C8" s="8" t="s">
        <v>64</v>
      </c>
      <c r="D8" s="8" t="s">
        <v>38</v>
      </c>
      <c r="E8" s="8" t="s">
        <v>4</v>
      </c>
      <c r="F8" s="8" t="s">
        <v>20</v>
      </c>
      <c r="G8" s="8" t="s">
        <v>65</v>
      </c>
      <c r="H8" s="8"/>
    </row>
    <row r="9" customFormat="false" ht="23.85" hidden="false" customHeight="false" outlineLevel="0" collapsed="false">
      <c r="A9" s="8" t="s">
        <v>66</v>
      </c>
      <c r="B9" s="8" t="s">
        <v>67</v>
      </c>
      <c r="C9" s="8" t="s">
        <v>68</v>
      </c>
      <c r="D9" s="8" t="s">
        <v>43</v>
      </c>
      <c r="E9" s="8" t="s">
        <v>4</v>
      </c>
      <c r="F9" s="8" t="s">
        <v>20</v>
      </c>
      <c r="G9" s="8" t="s">
        <v>69</v>
      </c>
      <c r="H9" s="8"/>
    </row>
    <row r="10" customFormat="false" ht="23.85" hidden="false" customHeight="false" outlineLevel="0" collapsed="false">
      <c r="A10" s="8" t="s">
        <v>70</v>
      </c>
      <c r="B10" s="8" t="s">
        <v>71</v>
      </c>
      <c r="C10" s="8" t="s">
        <v>72</v>
      </c>
      <c r="D10" s="8" t="s">
        <v>73</v>
      </c>
      <c r="E10" s="8" t="s">
        <v>7</v>
      </c>
      <c r="F10" s="8" t="s">
        <v>21</v>
      </c>
      <c r="G10" s="8" t="s">
        <v>74</v>
      </c>
      <c r="H10" s="8"/>
    </row>
    <row r="11" customFormat="false" ht="35.05" hidden="false" customHeight="false" outlineLevel="0" collapsed="false">
      <c r="A11" s="8" t="s">
        <v>75</v>
      </c>
      <c r="B11" s="8" t="s">
        <v>76</v>
      </c>
      <c r="C11" s="8" t="s">
        <v>68</v>
      </c>
      <c r="D11" s="8" t="s">
        <v>38</v>
      </c>
      <c r="E11" s="8" t="s">
        <v>4</v>
      </c>
      <c r="F11" s="8" t="s">
        <v>19</v>
      </c>
      <c r="G11" s="8" t="s">
        <v>77</v>
      </c>
      <c r="H11" s="8"/>
    </row>
    <row r="12" customFormat="false" ht="23.85" hidden="false" customHeight="false" outlineLevel="0" collapsed="false">
      <c r="A12" s="8" t="s">
        <v>78</v>
      </c>
      <c r="B12" s="8" t="s">
        <v>76</v>
      </c>
      <c r="C12" s="8" t="s">
        <v>79</v>
      </c>
      <c r="D12" s="8" t="s">
        <v>43</v>
      </c>
      <c r="E12" s="8" t="s">
        <v>4</v>
      </c>
      <c r="F12" s="8" t="s">
        <v>19</v>
      </c>
      <c r="G12" s="8" t="s">
        <v>80</v>
      </c>
      <c r="H12" s="8"/>
    </row>
    <row r="13" customFormat="false" ht="23.85" hidden="false" customHeight="false" outlineLevel="0" collapsed="false">
      <c r="A13" s="8" t="s">
        <v>81</v>
      </c>
      <c r="B13" s="8" t="s">
        <v>82</v>
      </c>
      <c r="C13" s="8" t="s">
        <v>83</v>
      </c>
      <c r="D13" s="8" t="s">
        <v>38</v>
      </c>
      <c r="E13" s="8" t="s">
        <v>4</v>
      </c>
      <c r="F13" s="8" t="s">
        <v>19</v>
      </c>
      <c r="G13" s="8" t="s">
        <v>84</v>
      </c>
      <c r="H13" s="8"/>
    </row>
    <row r="14" customFormat="false" ht="15" hidden="false" customHeight="false" outlineLevel="0" collapsed="false">
      <c r="A14" s="8" t="s">
        <v>85</v>
      </c>
      <c r="B14" s="8" t="s">
        <v>86</v>
      </c>
      <c r="C14" s="8" t="s">
        <v>87</v>
      </c>
      <c r="D14" s="8" t="s">
        <v>38</v>
      </c>
      <c r="E14" s="8" t="s">
        <v>9</v>
      </c>
      <c r="F14" s="8" t="s">
        <v>21</v>
      </c>
      <c r="G14" s="8" t="s">
        <v>88</v>
      </c>
      <c r="H14" s="8"/>
    </row>
    <row r="15" customFormat="false" ht="35.05" hidden="false" customHeight="false" outlineLevel="0" collapsed="false">
      <c r="A15" s="8" t="s">
        <v>89</v>
      </c>
      <c r="B15" s="8" t="s">
        <v>90</v>
      </c>
      <c r="C15" s="8" t="s">
        <v>68</v>
      </c>
      <c r="D15" s="8" t="s">
        <v>73</v>
      </c>
      <c r="E15" s="8" t="s">
        <v>4</v>
      </c>
      <c r="F15" s="8" t="s">
        <v>21</v>
      </c>
      <c r="G15" s="8" t="s">
        <v>91</v>
      </c>
      <c r="H15" s="8"/>
    </row>
    <row r="16" customFormat="false" ht="15" hidden="false" customHeight="false" outlineLevel="0" collapsed="false">
      <c r="A16" s="8" t="s">
        <v>92</v>
      </c>
      <c r="B16" s="8" t="s">
        <v>93</v>
      </c>
      <c r="C16" s="8" t="s">
        <v>79</v>
      </c>
      <c r="D16" s="8" t="s">
        <v>43</v>
      </c>
      <c r="E16" s="8" t="s">
        <v>4</v>
      </c>
      <c r="F16" s="8" t="s">
        <v>22</v>
      </c>
      <c r="G16" s="8" t="s">
        <v>94</v>
      </c>
      <c r="H16" s="8"/>
    </row>
    <row r="17" customFormat="false" ht="23.85" hidden="false" customHeight="false" outlineLevel="0" collapsed="false">
      <c r="A17" s="8" t="s">
        <v>95</v>
      </c>
      <c r="B17" s="8" t="s">
        <v>96</v>
      </c>
      <c r="C17" s="8" t="s">
        <v>97</v>
      </c>
      <c r="D17" s="8" t="s">
        <v>38</v>
      </c>
      <c r="E17" s="8" t="s">
        <v>4</v>
      </c>
      <c r="F17" s="8" t="s">
        <v>20</v>
      </c>
      <c r="G17" s="8" t="s">
        <v>98</v>
      </c>
      <c r="H17" s="8"/>
    </row>
    <row r="18" customFormat="false" ht="23.85" hidden="false" customHeight="false" outlineLevel="0" collapsed="false">
      <c r="A18" s="8" t="s">
        <v>99</v>
      </c>
      <c r="B18" s="8" t="s">
        <v>100</v>
      </c>
      <c r="C18" s="8" t="s">
        <v>101</v>
      </c>
      <c r="D18" s="8" t="s">
        <v>43</v>
      </c>
      <c r="E18" s="8" t="s">
        <v>4</v>
      </c>
      <c r="F18" s="8" t="s">
        <v>23</v>
      </c>
      <c r="G18" s="8" t="s">
        <v>102</v>
      </c>
      <c r="H18" s="8"/>
    </row>
    <row r="19" customFormat="false" ht="23.85" hidden="false" customHeight="false" outlineLevel="0" collapsed="false">
      <c r="A19" s="8" t="s">
        <v>103</v>
      </c>
      <c r="B19" s="8" t="s">
        <v>104</v>
      </c>
      <c r="C19" s="8" t="s">
        <v>97</v>
      </c>
      <c r="D19" s="8" t="s">
        <v>43</v>
      </c>
      <c r="E19" s="8" t="s">
        <v>4</v>
      </c>
      <c r="F19" s="8" t="s">
        <v>22</v>
      </c>
      <c r="G19" s="8" t="s">
        <v>105</v>
      </c>
      <c r="H19" s="8"/>
    </row>
    <row r="20" customFormat="false" ht="35.05" hidden="false" customHeight="false" outlineLevel="0" collapsed="false">
      <c r="A20" s="8" t="s">
        <v>106</v>
      </c>
      <c r="B20" s="8" t="s">
        <v>107</v>
      </c>
      <c r="C20" s="8" t="s">
        <v>108</v>
      </c>
      <c r="D20" s="8" t="s">
        <v>73</v>
      </c>
      <c r="E20" s="8" t="s">
        <v>5</v>
      </c>
      <c r="F20" s="8" t="s">
        <v>23</v>
      </c>
      <c r="G20" s="8" t="s">
        <v>109</v>
      </c>
      <c r="H20" s="8"/>
    </row>
    <row r="21" customFormat="false" ht="23.85" hidden="false" customHeight="false" outlineLevel="0" collapsed="false">
      <c r="A21" s="8" t="s">
        <v>110</v>
      </c>
      <c r="B21" s="8" t="s">
        <v>111</v>
      </c>
      <c r="C21" s="8" t="s">
        <v>112</v>
      </c>
      <c r="D21" s="8" t="s">
        <v>38</v>
      </c>
      <c r="E21" s="8" t="s">
        <v>4</v>
      </c>
      <c r="F21" s="8" t="s">
        <v>21</v>
      </c>
      <c r="G21" s="8" t="s">
        <v>113</v>
      </c>
      <c r="H21" s="8"/>
    </row>
    <row r="22" customFormat="false" ht="23.85" hidden="false" customHeight="false" outlineLevel="0" collapsed="false">
      <c r="A22" s="8" t="s">
        <v>114</v>
      </c>
      <c r="B22" s="8" t="s">
        <v>115</v>
      </c>
      <c r="C22" s="8" t="s">
        <v>112</v>
      </c>
      <c r="D22" s="8" t="s">
        <v>38</v>
      </c>
      <c r="E22" s="8" t="s">
        <v>4</v>
      </c>
      <c r="F22" s="8" t="s">
        <v>21</v>
      </c>
      <c r="G22" s="8" t="s">
        <v>116</v>
      </c>
      <c r="H22" s="8"/>
    </row>
    <row r="23" customFormat="false" ht="23.85" hidden="false" customHeight="false" outlineLevel="0" collapsed="false">
      <c r="A23" s="8" t="s">
        <v>117</v>
      </c>
      <c r="B23" s="8" t="s">
        <v>118</v>
      </c>
      <c r="C23" s="8" t="s">
        <v>119</v>
      </c>
      <c r="D23" s="8" t="s">
        <v>73</v>
      </c>
      <c r="E23" s="8" t="s">
        <v>4</v>
      </c>
      <c r="F23" s="8" t="s">
        <v>21</v>
      </c>
      <c r="G23" s="8" t="s">
        <v>120</v>
      </c>
      <c r="H23" s="8"/>
    </row>
    <row r="24" customFormat="false" ht="23.85" hidden="false" customHeight="false" outlineLevel="0" collapsed="false">
      <c r="A24" s="8" t="s">
        <v>121</v>
      </c>
      <c r="B24" s="8" t="s">
        <v>118</v>
      </c>
      <c r="C24" s="8" t="s">
        <v>119</v>
      </c>
      <c r="D24" s="8" t="s">
        <v>38</v>
      </c>
      <c r="E24" s="8" t="s">
        <v>4</v>
      </c>
      <c r="F24" s="8" t="s">
        <v>21</v>
      </c>
      <c r="G24" s="8" t="s">
        <v>122</v>
      </c>
      <c r="H24" s="8"/>
    </row>
    <row r="25" customFormat="false" ht="15" hidden="false" customHeight="false" outlineLevel="0" collapsed="false">
      <c r="A25" s="8" t="s">
        <v>123</v>
      </c>
      <c r="B25" s="8" t="s">
        <v>118</v>
      </c>
      <c r="C25" s="8" t="s">
        <v>119</v>
      </c>
      <c r="D25" s="8" t="s">
        <v>73</v>
      </c>
      <c r="E25" s="8" t="s">
        <v>4</v>
      </c>
      <c r="F25" s="8" t="s">
        <v>21</v>
      </c>
      <c r="G25" s="8" t="s">
        <v>124</v>
      </c>
      <c r="H25" s="8"/>
    </row>
    <row r="26" customFormat="false" ht="15" hidden="false" customHeight="false" outlineLevel="0" collapsed="false">
      <c r="A26" s="8" t="s">
        <v>125</v>
      </c>
      <c r="B26" s="8" t="s">
        <v>118</v>
      </c>
      <c r="C26" s="8" t="s">
        <v>126</v>
      </c>
      <c r="D26" s="8" t="s">
        <v>73</v>
      </c>
      <c r="E26" s="8" t="s">
        <v>4</v>
      </c>
      <c r="F26" s="8" t="s">
        <v>21</v>
      </c>
      <c r="G26" s="8" t="s">
        <v>127</v>
      </c>
      <c r="H26" s="8"/>
    </row>
    <row r="27" customFormat="false" ht="23.85" hidden="false" customHeight="false" outlineLevel="0" collapsed="false">
      <c r="A27" s="8" t="s">
        <v>128</v>
      </c>
      <c r="B27" s="8" t="s">
        <v>118</v>
      </c>
      <c r="C27" s="8" t="s">
        <v>119</v>
      </c>
      <c r="D27" s="8" t="s">
        <v>48</v>
      </c>
      <c r="E27" s="8" t="s">
        <v>10</v>
      </c>
      <c r="F27" s="8" t="s">
        <v>25</v>
      </c>
      <c r="G27" s="8" t="s">
        <v>129</v>
      </c>
      <c r="H27" s="8"/>
    </row>
    <row r="28" customFormat="false" ht="23.85" hidden="false" customHeight="false" outlineLevel="0" collapsed="false">
      <c r="A28" s="8" t="s">
        <v>130</v>
      </c>
      <c r="B28" s="8" t="s">
        <v>118</v>
      </c>
      <c r="C28" s="8" t="s">
        <v>131</v>
      </c>
      <c r="D28" s="8" t="s">
        <v>43</v>
      </c>
      <c r="E28" s="8" t="s">
        <v>8</v>
      </c>
      <c r="F28" s="8" t="s">
        <v>26</v>
      </c>
      <c r="G28" s="8" t="s">
        <v>132</v>
      </c>
      <c r="H28" s="8"/>
    </row>
    <row r="29" customFormat="false" ht="23.85" hidden="false" customHeight="false" outlineLevel="0" collapsed="false">
      <c r="A29" s="8" t="s">
        <v>133</v>
      </c>
      <c r="B29" s="8" t="s">
        <v>134</v>
      </c>
      <c r="C29" s="8" t="s">
        <v>135</v>
      </c>
      <c r="D29" s="8" t="s">
        <v>73</v>
      </c>
      <c r="E29" s="8" t="s">
        <v>4</v>
      </c>
      <c r="F29" s="8" t="s">
        <v>21</v>
      </c>
      <c r="G29" s="8" t="s">
        <v>136</v>
      </c>
      <c r="H29" s="8"/>
    </row>
    <row r="30" customFormat="false" ht="35.05" hidden="false" customHeight="false" outlineLevel="0" collapsed="false">
      <c r="A30" s="8" t="s">
        <v>137</v>
      </c>
      <c r="B30" s="8" t="s">
        <v>138</v>
      </c>
      <c r="C30" s="8" t="s">
        <v>139</v>
      </c>
      <c r="D30" s="8" t="s">
        <v>140</v>
      </c>
      <c r="E30" s="8" t="s">
        <v>13</v>
      </c>
      <c r="F30" s="8" t="s">
        <v>26</v>
      </c>
      <c r="G30" s="8" t="s">
        <v>141</v>
      </c>
      <c r="H30" s="8"/>
    </row>
    <row r="31" customFormat="false" ht="35.05" hidden="false" customHeight="false" outlineLevel="0" collapsed="false">
      <c r="A31" s="8" t="s">
        <v>142</v>
      </c>
      <c r="B31" s="8" t="s">
        <v>143</v>
      </c>
      <c r="C31" s="8" t="s">
        <v>144</v>
      </c>
      <c r="D31" s="8" t="s">
        <v>43</v>
      </c>
      <c r="E31" s="8" t="s">
        <v>12</v>
      </c>
      <c r="F31" s="8" t="s">
        <v>20</v>
      </c>
      <c r="G31" s="8" t="s">
        <v>145</v>
      </c>
      <c r="H31" s="8"/>
    </row>
    <row r="32" customFormat="false" ht="15" hidden="false" customHeight="false" outlineLevel="0" collapsed="false">
      <c r="A32" s="8" t="s">
        <v>146</v>
      </c>
      <c r="B32" s="8" t="s">
        <v>147</v>
      </c>
      <c r="C32" s="8" t="s">
        <v>148</v>
      </c>
      <c r="D32" s="8" t="s">
        <v>38</v>
      </c>
      <c r="E32" s="8" t="s">
        <v>4</v>
      </c>
      <c r="F32" s="8" t="s">
        <v>20</v>
      </c>
      <c r="G32" s="8" t="s">
        <v>149</v>
      </c>
      <c r="H32" s="8"/>
    </row>
    <row r="33" customFormat="false" ht="23.85" hidden="false" customHeight="false" outlineLevel="0" collapsed="false">
      <c r="A33" s="8" t="s">
        <v>150</v>
      </c>
      <c r="B33" s="8" t="s">
        <v>151</v>
      </c>
      <c r="C33" s="8" t="s">
        <v>152</v>
      </c>
      <c r="D33" s="8" t="s">
        <v>73</v>
      </c>
      <c r="E33" s="8" t="s">
        <v>4</v>
      </c>
      <c r="F33" s="8" t="s">
        <v>20</v>
      </c>
      <c r="G33" s="8" t="s">
        <v>153</v>
      </c>
      <c r="H33" s="8"/>
    </row>
    <row r="34" customFormat="false" ht="15" hidden="false" customHeight="false" outlineLevel="0" collapsed="false">
      <c r="A34" s="8" t="s">
        <v>154</v>
      </c>
      <c r="B34" s="8" t="s">
        <v>155</v>
      </c>
      <c r="C34" s="8" t="s">
        <v>156</v>
      </c>
      <c r="D34" s="8" t="s">
        <v>48</v>
      </c>
      <c r="E34" s="8" t="s">
        <v>10</v>
      </c>
      <c r="F34" s="8" t="s">
        <v>25</v>
      </c>
      <c r="G34" s="8" t="s">
        <v>157</v>
      </c>
      <c r="H34" s="8"/>
    </row>
    <row r="35" customFormat="false" ht="35.05" hidden="false" customHeight="false" outlineLevel="0" collapsed="false">
      <c r="A35" s="8" t="s">
        <v>158</v>
      </c>
      <c r="B35" s="8" t="s">
        <v>159</v>
      </c>
      <c r="C35" s="8" t="s">
        <v>68</v>
      </c>
      <c r="D35" s="8" t="s">
        <v>73</v>
      </c>
      <c r="E35" s="8" t="s">
        <v>4</v>
      </c>
      <c r="F35" s="8" t="s">
        <v>20</v>
      </c>
      <c r="G35" s="8" t="s">
        <v>160</v>
      </c>
      <c r="H35" s="8"/>
    </row>
    <row r="36" customFormat="false" ht="23.85" hidden="false" customHeight="false" outlineLevel="0" collapsed="false">
      <c r="A36" s="8" t="s">
        <v>161</v>
      </c>
      <c r="B36" s="8" t="s">
        <v>162</v>
      </c>
      <c r="C36" s="8" t="s">
        <v>163</v>
      </c>
      <c r="D36" s="8" t="s">
        <v>38</v>
      </c>
      <c r="E36" s="8" t="s">
        <v>4</v>
      </c>
      <c r="F36" s="8" t="s">
        <v>23</v>
      </c>
      <c r="G36" s="8" t="s">
        <v>164</v>
      </c>
      <c r="H36" s="8"/>
    </row>
    <row r="37" customFormat="false" ht="23.85" hidden="false" customHeight="false" outlineLevel="0" collapsed="false">
      <c r="A37" s="8" t="s">
        <v>165</v>
      </c>
      <c r="B37" s="8" t="s">
        <v>162</v>
      </c>
      <c r="C37" s="8" t="s">
        <v>166</v>
      </c>
      <c r="D37" s="8" t="s">
        <v>43</v>
      </c>
      <c r="E37" s="8" t="s">
        <v>4</v>
      </c>
      <c r="F37" s="8" t="s">
        <v>23</v>
      </c>
      <c r="G37" s="8" t="s">
        <v>167</v>
      </c>
      <c r="H37" s="8"/>
    </row>
    <row r="38" customFormat="false" ht="35.05" hidden="false" customHeight="false" outlineLevel="0" collapsed="false">
      <c r="A38" s="8" t="s">
        <v>168</v>
      </c>
      <c r="B38" s="8" t="s">
        <v>169</v>
      </c>
      <c r="C38" s="8" t="s">
        <v>170</v>
      </c>
      <c r="D38" s="8" t="s">
        <v>73</v>
      </c>
      <c r="E38" s="8" t="s">
        <v>6</v>
      </c>
      <c r="F38" s="8" t="s">
        <v>20</v>
      </c>
      <c r="G38" s="8" t="s">
        <v>171</v>
      </c>
      <c r="H38" s="8"/>
    </row>
    <row r="39" customFormat="false" ht="35.05" hidden="false" customHeight="false" outlineLevel="0" collapsed="false">
      <c r="A39" s="8" t="s">
        <v>172</v>
      </c>
      <c r="B39" s="8" t="s">
        <v>173</v>
      </c>
      <c r="C39" s="8" t="s">
        <v>174</v>
      </c>
      <c r="D39" s="8" t="s">
        <v>73</v>
      </c>
      <c r="E39" s="8" t="s">
        <v>4</v>
      </c>
      <c r="F39" s="8" t="s">
        <v>20</v>
      </c>
      <c r="G39" s="8" t="s">
        <v>175</v>
      </c>
      <c r="H39" s="8"/>
    </row>
    <row r="40" customFormat="false" ht="15" hidden="false" customHeight="false" outlineLevel="0" collapsed="false">
      <c r="A40" s="8" t="s">
        <v>176</v>
      </c>
      <c r="B40" s="8" t="s">
        <v>177</v>
      </c>
      <c r="C40" s="8" t="s">
        <v>178</v>
      </c>
      <c r="D40" s="8" t="s">
        <v>38</v>
      </c>
      <c r="E40" s="8" t="s">
        <v>4</v>
      </c>
      <c r="F40" s="8" t="s">
        <v>20</v>
      </c>
      <c r="G40" s="8" t="s">
        <v>179</v>
      </c>
      <c r="H40" s="8"/>
    </row>
    <row r="41" customFormat="false" ht="35.05" hidden="false" customHeight="false" outlineLevel="0" collapsed="false">
      <c r="A41" s="8" t="s">
        <v>180</v>
      </c>
      <c r="B41" s="8" t="s">
        <v>181</v>
      </c>
      <c r="C41" s="8" t="s">
        <v>182</v>
      </c>
      <c r="D41" s="8" t="s">
        <v>183</v>
      </c>
      <c r="E41" s="8" t="s">
        <v>14</v>
      </c>
      <c r="F41" s="8" t="s">
        <v>26</v>
      </c>
      <c r="G41" s="8" t="s">
        <v>184</v>
      </c>
      <c r="H41" s="8"/>
    </row>
    <row r="42" customFormat="false" ht="23.85" hidden="false" customHeight="false" outlineLevel="0" collapsed="false">
      <c r="A42" s="8" t="s">
        <v>185</v>
      </c>
      <c r="B42" s="8" t="s">
        <v>181</v>
      </c>
      <c r="C42" s="8" t="s">
        <v>186</v>
      </c>
      <c r="D42" s="8" t="s">
        <v>183</v>
      </c>
      <c r="E42" s="8" t="s">
        <v>14</v>
      </c>
      <c r="F42" s="8" t="s">
        <v>26</v>
      </c>
      <c r="G42" s="8" t="s">
        <v>187</v>
      </c>
      <c r="H42" s="8"/>
    </row>
    <row r="43" customFormat="false" ht="23.85" hidden="false" customHeight="false" outlineLevel="0" collapsed="false">
      <c r="A43" s="8" t="s">
        <v>188</v>
      </c>
      <c r="B43" s="8" t="s">
        <v>189</v>
      </c>
      <c r="C43" s="8" t="s">
        <v>190</v>
      </c>
      <c r="D43" s="8" t="s">
        <v>38</v>
      </c>
      <c r="E43" s="8" t="s">
        <v>4</v>
      </c>
      <c r="F43" s="8" t="s">
        <v>19</v>
      </c>
      <c r="G43" s="8" t="s">
        <v>191</v>
      </c>
      <c r="H43" s="8"/>
    </row>
    <row r="44" customFormat="false" ht="35.05" hidden="false" customHeight="false" outlineLevel="0" collapsed="false">
      <c r="A44" s="8" t="s">
        <v>192</v>
      </c>
      <c r="B44" s="8" t="s">
        <v>193</v>
      </c>
      <c r="C44" s="8" t="s">
        <v>68</v>
      </c>
      <c r="D44" s="8" t="s">
        <v>73</v>
      </c>
      <c r="E44" s="8" t="s">
        <v>4</v>
      </c>
      <c r="F44" s="8" t="s">
        <v>19</v>
      </c>
      <c r="G44" s="8" t="s">
        <v>194</v>
      </c>
      <c r="H44" s="8"/>
    </row>
    <row r="45" customFormat="false" ht="23.85" hidden="false" customHeight="false" outlineLevel="0" collapsed="false">
      <c r="A45" s="8" t="s">
        <v>195</v>
      </c>
      <c r="B45" s="8" t="s">
        <v>196</v>
      </c>
      <c r="C45" s="8" t="s">
        <v>197</v>
      </c>
      <c r="D45" s="8" t="s">
        <v>48</v>
      </c>
      <c r="E45" s="8" t="s">
        <v>11</v>
      </c>
      <c r="F45" s="8" t="s">
        <v>25</v>
      </c>
      <c r="G45" s="8" t="s">
        <v>198</v>
      </c>
      <c r="H45" s="8"/>
    </row>
    <row r="46" customFormat="false" ht="23.85" hidden="false" customHeight="false" outlineLevel="0" collapsed="false">
      <c r="A46" s="8" t="s">
        <v>199</v>
      </c>
      <c r="B46" s="8" t="s">
        <v>200</v>
      </c>
      <c r="C46" s="8" t="s">
        <v>201</v>
      </c>
      <c r="D46" s="8" t="s">
        <v>73</v>
      </c>
      <c r="E46" s="8" t="s">
        <v>4</v>
      </c>
      <c r="F46" s="8" t="s">
        <v>21</v>
      </c>
      <c r="G46" s="8" t="s">
        <v>202</v>
      </c>
      <c r="H46" s="8"/>
    </row>
    <row r="47" customFormat="false" ht="23.85" hidden="false" customHeight="false" outlineLevel="0" collapsed="false">
      <c r="A47" s="8" t="s">
        <v>203</v>
      </c>
      <c r="B47" s="8" t="s">
        <v>204</v>
      </c>
      <c r="C47" s="8" t="s">
        <v>144</v>
      </c>
      <c r="D47" s="8" t="s">
        <v>43</v>
      </c>
      <c r="E47" s="8" t="s">
        <v>4</v>
      </c>
      <c r="F47" s="8" t="s">
        <v>22</v>
      </c>
      <c r="G47" s="8" t="s">
        <v>205</v>
      </c>
      <c r="H47" s="8"/>
    </row>
    <row r="48" customFormat="false" ht="15" hidden="false" customHeight="false" outlineLevel="0" collapsed="false">
      <c r="A48" s="8" t="s">
        <v>206</v>
      </c>
      <c r="B48" s="8" t="s">
        <v>207</v>
      </c>
      <c r="C48" s="8" t="s">
        <v>208</v>
      </c>
      <c r="D48" s="8" t="s">
        <v>73</v>
      </c>
      <c r="E48" s="8" t="s">
        <v>4</v>
      </c>
      <c r="F48" s="8" t="s">
        <v>19</v>
      </c>
      <c r="G48" s="8" t="s">
        <v>209</v>
      </c>
      <c r="H48" s="8"/>
    </row>
    <row r="49" customFormat="false" ht="15" hidden="false" customHeight="false" outlineLevel="0" collapsed="false">
      <c r="A49" s="8" t="s">
        <v>210</v>
      </c>
      <c r="B49" s="8" t="s">
        <v>211</v>
      </c>
      <c r="C49" s="8" t="s">
        <v>212</v>
      </c>
      <c r="D49" s="8" t="s">
        <v>48</v>
      </c>
      <c r="E49" s="8" t="s">
        <v>10</v>
      </c>
      <c r="F49" s="8" t="s">
        <v>25</v>
      </c>
      <c r="G49" s="8" t="s">
        <v>213</v>
      </c>
      <c r="H49" s="8"/>
    </row>
    <row r="50" customFormat="false" ht="23.85" hidden="false" customHeight="false" outlineLevel="0" collapsed="false">
      <c r="A50" s="8" t="s">
        <v>214</v>
      </c>
      <c r="B50" s="8" t="s">
        <v>215</v>
      </c>
      <c r="C50" s="8" t="s">
        <v>216</v>
      </c>
      <c r="D50" s="8" t="s">
        <v>73</v>
      </c>
      <c r="E50" s="8" t="s">
        <v>4</v>
      </c>
      <c r="F50" s="8" t="s">
        <v>21</v>
      </c>
      <c r="G50" s="8" t="s">
        <v>217</v>
      </c>
      <c r="H50" s="8"/>
    </row>
    <row r="51" customFormat="false" ht="23.85" hidden="false" customHeight="false" outlineLevel="0" collapsed="false">
      <c r="A51" s="8" t="s">
        <v>218</v>
      </c>
      <c r="B51" s="8" t="s">
        <v>219</v>
      </c>
      <c r="C51" s="8" t="s">
        <v>216</v>
      </c>
      <c r="D51" s="8" t="s">
        <v>73</v>
      </c>
      <c r="E51" s="8" t="s">
        <v>4</v>
      </c>
      <c r="F51" s="8" t="s">
        <v>21</v>
      </c>
      <c r="G51" s="8" t="s">
        <v>220</v>
      </c>
      <c r="H51" s="8"/>
    </row>
    <row r="52" customFormat="false" ht="15" hidden="false" customHeight="false" outlineLevel="0" collapsed="false">
      <c r="A52" s="8" t="s">
        <v>221</v>
      </c>
      <c r="B52" s="8" t="s">
        <v>222</v>
      </c>
      <c r="C52" s="8" t="s">
        <v>223</v>
      </c>
      <c r="D52" s="8" t="s">
        <v>38</v>
      </c>
      <c r="E52" s="8" t="s">
        <v>4</v>
      </c>
      <c r="F52" s="8" t="s">
        <v>20</v>
      </c>
      <c r="G52" s="8" t="s">
        <v>224</v>
      </c>
      <c r="H52" s="8"/>
    </row>
    <row r="53" customFormat="false" ht="15" hidden="false" customHeight="false" outlineLevel="0" collapsed="false">
      <c r="A53" s="8" t="s">
        <v>225</v>
      </c>
      <c r="B53" s="8" t="s">
        <v>226</v>
      </c>
      <c r="C53" s="8" t="s">
        <v>68</v>
      </c>
      <c r="D53" s="8" t="s">
        <v>73</v>
      </c>
      <c r="E53" s="8" t="s">
        <v>4</v>
      </c>
      <c r="F53" s="8" t="s">
        <v>21</v>
      </c>
      <c r="G53" s="8" t="s">
        <v>227</v>
      </c>
      <c r="H53" s="8"/>
    </row>
    <row r="54" customFormat="false" ht="23.85" hidden="false" customHeight="false" outlineLevel="0" collapsed="false">
      <c r="A54" s="8" t="s">
        <v>228</v>
      </c>
      <c r="B54" s="8" t="s">
        <v>229</v>
      </c>
      <c r="C54" s="8" t="s">
        <v>230</v>
      </c>
      <c r="D54" s="8" t="s">
        <v>73</v>
      </c>
      <c r="E54" s="8" t="s">
        <v>4</v>
      </c>
      <c r="F54" s="8" t="s">
        <v>19</v>
      </c>
      <c r="G54" s="8" t="s">
        <v>231</v>
      </c>
      <c r="H54" s="8"/>
    </row>
    <row r="55" customFormat="false" ht="23.85" hidden="false" customHeight="false" outlineLevel="0" collapsed="false">
      <c r="A55" s="8" t="s">
        <v>232</v>
      </c>
      <c r="B55" s="8" t="s">
        <v>233</v>
      </c>
      <c r="C55" s="8" t="s">
        <v>68</v>
      </c>
      <c r="D55" s="8" t="s">
        <v>73</v>
      </c>
      <c r="E55" s="8" t="s">
        <v>15</v>
      </c>
      <c r="F55" s="8" t="s">
        <v>24</v>
      </c>
      <c r="G55" s="8" t="s">
        <v>234</v>
      </c>
      <c r="H55" s="8"/>
    </row>
    <row r="56" customFormat="false" ht="23.85" hidden="false" customHeight="false" outlineLevel="0" collapsed="false">
      <c r="A56" s="8" t="s">
        <v>235</v>
      </c>
      <c r="B56" s="8" t="s">
        <v>236</v>
      </c>
      <c r="C56" s="8" t="s">
        <v>68</v>
      </c>
      <c r="D56" s="8" t="s">
        <v>183</v>
      </c>
      <c r="E56" s="8" t="s">
        <v>14</v>
      </c>
      <c r="F56" s="8" t="s">
        <v>26</v>
      </c>
      <c r="G56" s="8" t="s">
        <v>237</v>
      </c>
      <c r="H56" s="8"/>
    </row>
    <row r="57" customFormat="false" ht="23.85" hidden="false" customHeight="false" outlineLevel="0" collapsed="false">
      <c r="A57" s="8" t="s">
        <v>238</v>
      </c>
      <c r="B57" s="8" t="s">
        <v>239</v>
      </c>
      <c r="C57" s="8" t="s">
        <v>68</v>
      </c>
      <c r="D57" s="8" t="s">
        <v>183</v>
      </c>
      <c r="E57" s="8" t="s">
        <v>16</v>
      </c>
      <c r="F57" s="8" t="s">
        <v>26</v>
      </c>
      <c r="G57" s="8" t="s">
        <v>240</v>
      </c>
      <c r="H57" s="8"/>
    </row>
    <row r="58" customFormat="false" ht="23.85" hidden="false" customHeight="false" outlineLevel="0" collapsed="false">
      <c r="A58" s="8" t="s">
        <v>241</v>
      </c>
      <c r="B58" s="8" t="s">
        <v>242</v>
      </c>
      <c r="C58" s="8" t="s">
        <v>243</v>
      </c>
      <c r="D58" s="8" t="s">
        <v>244</v>
      </c>
      <c r="E58" s="8" t="s">
        <v>4</v>
      </c>
      <c r="F58" s="8" t="s">
        <v>21</v>
      </c>
      <c r="G58" s="8" t="s">
        <v>245</v>
      </c>
      <c r="H58" s="8"/>
    </row>
  </sheetData>
  <autoFilter ref="A1:H58"/>
  <conditionalFormatting sqref="E2:E58">
    <cfRule type="expression" priority="2" aboveAverage="0" equalAverage="0" bottom="0" percent="0" rank="0" text="" dxfId="7">
      <formula>ISNUMBER(SEARCH("Bloqué",E2))</formula>
    </cfRule>
    <cfRule type="expression" priority="3" aboveAverage="0" equalAverage="0" bottom="0" percent="0" rank="0" text="" dxfId="8">
      <formula>ISNUMBER(SEARCH("Ouvert",E2))</formula>
    </cfRule>
    <cfRule type="expression" priority="4" aboveAverage="0" equalAverage="0" bottom="0" percent="0" rank="0" text="" dxfId="8">
      <formula>ISNUMBER(SEARCH("arbitr",E2))</formula>
    </cfRule>
    <cfRule type="expression" priority="5" aboveAverage="0" equalAverage="0" bottom="0" percent="0" rank="0" text="" dxfId="8">
      <formula>ISNUMBER(SEARCH("À arbitrer",E2))</formula>
    </cfRule>
    <cfRule type="expression" priority="6" aboveAverage="0" equalAverage="0" bottom="0" percent="0" rank="0" text="" dxfId="9">
      <formula>ISNUMBER(SEARCH("Conforme",E2))</formula>
    </cfRule>
    <cfRule type="expression" priority="7" aboveAverage="0" equalAverage="0" bottom="0" percent="0" rank="0" text="" dxfId="10">
      <formula>ISNUMBER(SEARCH("Verrou",E2))</formula>
    </cfRule>
  </conditionalFormatting>
  <dataValidations count="1">
    <dataValidation allowBlank="true" errorStyle="stop" operator="between" showDropDown="false" showErrorMessage="false" showInputMessage="false" sqref="H2:H58" type="list">
      <formula1>"Validé,À modifier,Reporté"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80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35.05" hidden="false" customHeight="false" outlineLevel="0" collapsed="false">
      <c r="A1" s="7" t="s">
        <v>28</v>
      </c>
      <c r="B1" s="7" t="s">
        <v>246</v>
      </c>
      <c r="C1" s="7" t="s">
        <v>247</v>
      </c>
      <c r="D1" s="7" t="s">
        <v>248</v>
      </c>
      <c r="E1" s="7" t="s">
        <v>249</v>
      </c>
      <c r="F1" s="7" t="s">
        <v>250</v>
      </c>
      <c r="G1" s="7" t="s">
        <v>34</v>
      </c>
    </row>
    <row r="2" customFormat="false" ht="15" hidden="false" customHeight="false" outlineLevel="0" collapsed="false">
      <c r="A2" s="8" t="s">
        <v>251</v>
      </c>
      <c r="B2" s="8" t="s">
        <v>252</v>
      </c>
      <c r="C2" s="8" t="s">
        <v>253</v>
      </c>
      <c r="D2" s="8" t="s">
        <v>254</v>
      </c>
      <c r="E2" s="8" t="s">
        <v>255</v>
      </c>
      <c r="F2" s="8" t="s">
        <v>22</v>
      </c>
      <c r="G2" s="8"/>
    </row>
    <row r="3" customFormat="false" ht="15" hidden="false" customHeight="false" outlineLevel="0" collapsed="false">
      <c r="A3" s="8" t="s">
        <v>256</v>
      </c>
      <c r="B3" s="8" t="s">
        <v>257</v>
      </c>
      <c r="C3" s="8" t="s">
        <v>258</v>
      </c>
      <c r="D3" s="8" t="s">
        <v>259</v>
      </c>
      <c r="E3" s="8" t="s">
        <v>260</v>
      </c>
      <c r="F3" s="8" t="s">
        <v>21</v>
      </c>
      <c r="G3" s="8"/>
    </row>
    <row r="4" customFormat="false" ht="15" hidden="false" customHeight="false" outlineLevel="0" collapsed="false">
      <c r="A4" s="8" t="s">
        <v>261</v>
      </c>
      <c r="B4" s="8" t="s">
        <v>262</v>
      </c>
      <c r="C4" s="8" t="s">
        <v>263</v>
      </c>
      <c r="D4" s="8" t="s">
        <v>259</v>
      </c>
      <c r="E4" s="8" t="s">
        <v>264</v>
      </c>
      <c r="F4" s="8" t="s">
        <v>21</v>
      </c>
      <c r="G4" s="8"/>
    </row>
    <row r="5" customFormat="false" ht="23.85" hidden="false" customHeight="false" outlineLevel="0" collapsed="false">
      <c r="A5" s="8" t="s">
        <v>265</v>
      </c>
      <c r="B5" s="8" t="s">
        <v>266</v>
      </c>
      <c r="C5" s="8" t="s">
        <v>267</v>
      </c>
      <c r="D5" s="8" t="s">
        <v>268</v>
      </c>
      <c r="E5" s="8" t="s">
        <v>269</v>
      </c>
      <c r="F5" s="8" t="s">
        <v>21</v>
      </c>
      <c r="G5" s="8"/>
    </row>
    <row r="6" customFormat="false" ht="15" hidden="false" customHeight="false" outlineLevel="0" collapsed="false">
      <c r="A6" s="8" t="s">
        <v>270</v>
      </c>
      <c r="B6" s="8" t="s">
        <v>271</v>
      </c>
      <c r="C6" s="8" t="s">
        <v>272</v>
      </c>
      <c r="D6" s="8" t="s">
        <v>273</v>
      </c>
      <c r="E6" s="8" t="s">
        <v>274</v>
      </c>
      <c r="F6" s="8" t="s">
        <v>21</v>
      </c>
      <c r="G6" s="8"/>
    </row>
    <row r="7" customFormat="false" ht="23.85" hidden="false" customHeight="false" outlineLevel="0" collapsed="false">
      <c r="A7" s="8" t="s">
        <v>275</v>
      </c>
      <c r="B7" s="8" t="s">
        <v>276</v>
      </c>
      <c r="C7" s="8" t="s">
        <v>277</v>
      </c>
      <c r="D7" s="8" t="s">
        <v>278</v>
      </c>
      <c r="E7" s="8" t="s">
        <v>279</v>
      </c>
      <c r="F7" s="8" t="s">
        <v>25</v>
      </c>
      <c r="G7" s="8"/>
    </row>
    <row r="8" customFormat="false" ht="23.85" hidden="false" customHeight="false" outlineLevel="0" collapsed="false">
      <c r="A8" s="8" t="s">
        <v>280</v>
      </c>
      <c r="B8" s="8" t="s">
        <v>281</v>
      </c>
      <c r="C8" s="8" t="s">
        <v>282</v>
      </c>
      <c r="D8" s="8" t="s">
        <v>268</v>
      </c>
      <c r="E8" s="8" t="s">
        <v>283</v>
      </c>
      <c r="F8" s="8" t="s">
        <v>19</v>
      </c>
      <c r="G8" s="8"/>
    </row>
    <row r="9" customFormat="false" ht="23.85" hidden="false" customHeight="false" outlineLevel="0" collapsed="false">
      <c r="A9" s="8" t="s">
        <v>284</v>
      </c>
      <c r="B9" s="8" t="s">
        <v>285</v>
      </c>
      <c r="C9" s="8" t="s">
        <v>286</v>
      </c>
      <c r="D9" s="8" t="s">
        <v>287</v>
      </c>
      <c r="E9" s="8" t="s">
        <v>288</v>
      </c>
      <c r="F9" s="8" t="s">
        <v>21</v>
      </c>
      <c r="G9" s="8"/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23.85" hidden="false" customHeight="false" outlineLevel="0" collapsed="false">
      <c r="A1" s="7" t="s">
        <v>18</v>
      </c>
      <c r="B1" s="7" t="s">
        <v>289</v>
      </c>
      <c r="C1" s="7" t="s">
        <v>290</v>
      </c>
      <c r="D1" s="7" t="s">
        <v>291</v>
      </c>
      <c r="E1" s="7" t="s">
        <v>292</v>
      </c>
    </row>
    <row r="2" customFormat="false" ht="15" hidden="false" customHeight="false" outlineLevel="0" collapsed="false">
      <c r="A2" s="8" t="s">
        <v>19</v>
      </c>
      <c r="B2" s="8" t="s">
        <v>293</v>
      </c>
      <c r="C2" s="8" t="s">
        <v>294</v>
      </c>
      <c r="D2" s="8" t="s">
        <v>295</v>
      </c>
      <c r="E2" s="8" t="s">
        <v>296</v>
      </c>
    </row>
    <row r="3" customFormat="false" ht="23.85" hidden="false" customHeight="false" outlineLevel="0" collapsed="false">
      <c r="A3" s="8" t="s">
        <v>20</v>
      </c>
      <c r="B3" s="8" t="s">
        <v>67</v>
      </c>
      <c r="C3" s="8" t="s">
        <v>297</v>
      </c>
      <c r="D3" s="8" t="s">
        <v>298</v>
      </c>
      <c r="E3" s="8" t="s">
        <v>299</v>
      </c>
    </row>
    <row r="4" customFormat="false" ht="23.85" hidden="false" customHeight="false" outlineLevel="0" collapsed="false">
      <c r="A4" s="8" t="s">
        <v>21</v>
      </c>
      <c r="B4" s="8" t="s">
        <v>300</v>
      </c>
      <c r="C4" s="8" t="s">
        <v>301</v>
      </c>
      <c r="D4" s="8" t="s">
        <v>302</v>
      </c>
      <c r="E4" s="8" t="s">
        <v>303</v>
      </c>
    </row>
    <row r="5" customFormat="false" ht="15" hidden="false" customHeight="false" outlineLevel="0" collapsed="false">
      <c r="A5" s="8" t="s">
        <v>22</v>
      </c>
      <c r="B5" s="8" t="s">
        <v>304</v>
      </c>
      <c r="C5" s="8" t="s">
        <v>305</v>
      </c>
      <c r="D5" s="8" t="s">
        <v>306</v>
      </c>
      <c r="E5" s="8" t="s">
        <v>307</v>
      </c>
    </row>
    <row r="6" customFormat="false" ht="15" hidden="false" customHeight="false" outlineLevel="0" collapsed="false">
      <c r="A6" s="8" t="s">
        <v>23</v>
      </c>
      <c r="B6" s="8" t="s">
        <v>308</v>
      </c>
      <c r="C6" s="8" t="s">
        <v>309</v>
      </c>
      <c r="D6" s="8" t="s">
        <v>310</v>
      </c>
      <c r="E6" s="8" t="s">
        <v>311</v>
      </c>
    </row>
    <row r="7" customFormat="false" ht="15" hidden="false" customHeight="false" outlineLevel="0" collapsed="false">
      <c r="A7" s="8" t="s">
        <v>24</v>
      </c>
      <c r="B7" s="8" t="s">
        <v>312</v>
      </c>
      <c r="C7" s="8" t="s">
        <v>313</v>
      </c>
      <c r="D7" s="8" t="s">
        <v>26</v>
      </c>
      <c r="E7" s="8" t="s">
        <v>314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7" t="s">
        <v>315</v>
      </c>
      <c r="B1" s="7" t="s">
        <v>316</v>
      </c>
      <c r="C1" s="7" t="s">
        <v>317</v>
      </c>
    </row>
    <row r="2" customFormat="false" ht="15" hidden="false" customHeight="false" outlineLevel="0" collapsed="false">
      <c r="A2" s="8" t="s">
        <v>318</v>
      </c>
      <c r="B2" s="8" t="s">
        <v>319</v>
      </c>
      <c r="C2" s="8" t="s">
        <v>320</v>
      </c>
    </row>
    <row r="3" customFormat="false" ht="15" hidden="false" customHeight="false" outlineLevel="0" collapsed="false">
      <c r="A3" s="8" t="s">
        <v>321</v>
      </c>
      <c r="B3" s="8" t="s">
        <v>322</v>
      </c>
      <c r="C3" s="8" t="s">
        <v>323</v>
      </c>
    </row>
    <row r="4" customFormat="false" ht="15" hidden="false" customHeight="false" outlineLevel="0" collapsed="false">
      <c r="A4" s="8" t="s">
        <v>321</v>
      </c>
      <c r="B4" s="8" t="s">
        <v>324</v>
      </c>
      <c r="C4" s="8" t="s">
        <v>325</v>
      </c>
    </row>
    <row r="5" customFormat="false" ht="15" hidden="false" customHeight="false" outlineLevel="0" collapsed="false">
      <c r="A5" s="8" t="s">
        <v>321</v>
      </c>
      <c r="B5" s="8" t="s">
        <v>326</v>
      </c>
      <c r="C5" s="8" t="s">
        <v>327</v>
      </c>
    </row>
    <row r="6" customFormat="false" ht="15" hidden="false" customHeight="false" outlineLevel="0" collapsed="false">
      <c r="A6" s="8" t="s">
        <v>321</v>
      </c>
      <c r="B6" s="8" t="s">
        <v>328</v>
      </c>
      <c r="C6" s="8" t="s">
        <v>329</v>
      </c>
    </row>
    <row r="7" customFormat="false" ht="15" hidden="false" customHeight="false" outlineLevel="0" collapsed="false">
      <c r="A7" s="8" t="s">
        <v>321</v>
      </c>
      <c r="B7" s="8" t="s">
        <v>330</v>
      </c>
      <c r="C7" s="8" t="s">
        <v>331</v>
      </c>
    </row>
    <row r="8" customFormat="false" ht="15" hidden="false" customHeight="false" outlineLevel="0" collapsed="false">
      <c r="A8" s="8" t="s">
        <v>321</v>
      </c>
      <c r="B8" s="8" t="s">
        <v>332</v>
      </c>
      <c r="C8" s="8" t="s">
        <v>333</v>
      </c>
    </row>
    <row r="9" customFormat="false" ht="15" hidden="false" customHeight="false" outlineLevel="0" collapsed="false">
      <c r="A9" s="8" t="s">
        <v>321</v>
      </c>
      <c r="B9" s="8" t="s">
        <v>334</v>
      </c>
      <c r="C9" s="8" t="s">
        <v>335</v>
      </c>
    </row>
    <row r="10" customFormat="false" ht="15" hidden="false" customHeight="false" outlineLevel="0" collapsed="false">
      <c r="A10" s="8" t="s">
        <v>321</v>
      </c>
      <c r="B10" s="8" t="s">
        <v>336</v>
      </c>
      <c r="C10" s="8" t="s">
        <v>337</v>
      </c>
    </row>
    <row r="11" customFormat="false" ht="15" hidden="false" customHeight="false" outlineLevel="0" collapsed="false">
      <c r="A11" s="8" t="s">
        <v>321</v>
      </c>
      <c r="B11" s="8" t="s">
        <v>338</v>
      </c>
      <c r="C11" s="8" t="s">
        <v>339</v>
      </c>
    </row>
    <row r="12" customFormat="false" ht="15" hidden="false" customHeight="false" outlineLevel="0" collapsed="false">
      <c r="A12" s="8" t="s">
        <v>321</v>
      </c>
      <c r="B12" s="8" t="s">
        <v>340</v>
      </c>
      <c r="C12" s="8" t="s">
        <v>341</v>
      </c>
    </row>
    <row r="13" customFormat="false" ht="15" hidden="false" customHeight="false" outlineLevel="0" collapsed="false">
      <c r="A13" s="8" t="s">
        <v>321</v>
      </c>
      <c r="B13" s="8" t="s">
        <v>342</v>
      </c>
      <c r="C13" s="8" t="s">
        <v>343</v>
      </c>
    </row>
    <row r="14" customFormat="false" ht="15" hidden="false" customHeight="false" outlineLevel="0" collapsed="false">
      <c r="A14" s="8" t="s">
        <v>321</v>
      </c>
      <c r="B14" s="8" t="s">
        <v>344</v>
      </c>
      <c r="C14" s="8" t="s">
        <v>345</v>
      </c>
    </row>
    <row r="15" customFormat="false" ht="15" hidden="false" customHeight="false" outlineLevel="0" collapsed="false">
      <c r="A15" s="8" t="s">
        <v>321</v>
      </c>
      <c r="B15" s="8" t="s">
        <v>346</v>
      </c>
      <c r="C15" s="8" t="s">
        <v>345</v>
      </c>
    </row>
    <row r="16" customFormat="false" ht="15" hidden="false" customHeight="false" outlineLevel="0" collapsed="false">
      <c r="A16" s="8" t="s">
        <v>321</v>
      </c>
      <c r="B16" s="8" t="s">
        <v>347</v>
      </c>
      <c r="C16" s="8" t="s">
        <v>348</v>
      </c>
    </row>
    <row r="17" customFormat="false" ht="15" hidden="false" customHeight="false" outlineLevel="0" collapsed="false">
      <c r="A17" s="8" t="s">
        <v>321</v>
      </c>
      <c r="B17" s="8" t="s">
        <v>349</v>
      </c>
      <c r="C17" s="8" t="s">
        <v>350</v>
      </c>
    </row>
    <row r="18" customFormat="false" ht="15" hidden="false" customHeight="false" outlineLevel="0" collapsed="false">
      <c r="A18" s="8" t="s">
        <v>321</v>
      </c>
      <c r="B18" s="8" t="s">
        <v>351</v>
      </c>
      <c r="C18" s="8" t="s">
        <v>352</v>
      </c>
    </row>
    <row r="19" customFormat="false" ht="15" hidden="false" customHeight="false" outlineLevel="0" collapsed="false">
      <c r="A19" s="8" t="s">
        <v>321</v>
      </c>
      <c r="B19" s="8" t="s">
        <v>353</v>
      </c>
      <c r="C19" s="8" t="s">
        <v>354</v>
      </c>
    </row>
    <row r="20" customFormat="false" ht="15" hidden="false" customHeight="false" outlineLevel="0" collapsed="false">
      <c r="A20" s="8" t="s">
        <v>321</v>
      </c>
      <c r="B20" s="8" t="s">
        <v>355</v>
      </c>
      <c r="C20" s="8" t="s">
        <v>356</v>
      </c>
    </row>
    <row r="21" customFormat="false" ht="15" hidden="false" customHeight="false" outlineLevel="0" collapsed="false">
      <c r="A21" s="8" t="s">
        <v>321</v>
      </c>
      <c r="B21" s="8" t="s">
        <v>357</v>
      </c>
      <c r="C21" s="8" t="s">
        <v>358</v>
      </c>
    </row>
    <row r="22" customFormat="false" ht="15" hidden="false" customHeight="false" outlineLevel="0" collapsed="false">
      <c r="A22" s="8" t="s">
        <v>321</v>
      </c>
      <c r="B22" s="8" t="s">
        <v>359</v>
      </c>
      <c r="C22" s="8" t="s">
        <v>360</v>
      </c>
    </row>
    <row r="23" customFormat="false" ht="15" hidden="false" customHeight="false" outlineLevel="0" collapsed="false">
      <c r="A23" s="8" t="s">
        <v>321</v>
      </c>
      <c r="B23" s="8" t="s">
        <v>361</v>
      </c>
      <c r="C23" s="8" t="s">
        <v>362</v>
      </c>
    </row>
    <row r="24" customFormat="false" ht="15" hidden="false" customHeight="false" outlineLevel="0" collapsed="false">
      <c r="A24" s="8" t="s">
        <v>321</v>
      </c>
      <c r="B24" s="8" t="s">
        <v>363</v>
      </c>
      <c r="C24" s="8" t="s">
        <v>364</v>
      </c>
    </row>
    <row r="25" customFormat="false" ht="15" hidden="false" customHeight="false" outlineLevel="0" collapsed="false">
      <c r="A25" s="8" t="s">
        <v>321</v>
      </c>
      <c r="B25" s="8" t="s">
        <v>365</v>
      </c>
      <c r="C25" s="8" t="s">
        <v>366</v>
      </c>
    </row>
    <row r="26" customFormat="false" ht="15" hidden="false" customHeight="false" outlineLevel="0" collapsed="false">
      <c r="A26" s="8" t="s">
        <v>321</v>
      </c>
      <c r="B26" s="8" t="s">
        <v>367</v>
      </c>
      <c r="C26" s="8" t="s">
        <v>368</v>
      </c>
    </row>
    <row r="27" customFormat="false" ht="15" hidden="false" customHeight="false" outlineLevel="0" collapsed="false">
      <c r="A27" s="8" t="s">
        <v>321</v>
      </c>
      <c r="B27" s="8" t="s">
        <v>369</v>
      </c>
      <c r="C27" s="8" t="s">
        <v>370</v>
      </c>
    </row>
    <row r="28" customFormat="false" ht="15" hidden="false" customHeight="false" outlineLevel="0" collapsed="false">
      <c r="A28" s="8" t="s">
        <v>321</v>
      </c>
      <c r="B28" s="8" t="s">
        <v>371</v>
      </c>
      <c r="C28" s="8" t="s">
        <v>372</v>
      </c>
    </row>
    <row r="29" customFormat="false" ht="15" hidden="false" customHeight="false" outlineLevel="0" collapsed="false">
      <c r="A29" s="8" t="s">
        <v>321</v>
      </c>
      <c r="B29" s="8" t="s">
        <v>373</v>
      </c>
      <c r="C29" s="8" t="s">
        <v>374</v>
      </c>
    </row>
    <row r="30" customFormat="false" ht="15" hidden="false" customHeight="false" outlineLevel="0" collapsed="false">
      <c r="A30" s="8" t="s">
        <v>321</v>
      </c>
      <c r="B30" s="8" t="s">
        <v>375</v>
      </c>
      <c r="C30" s="8" t="s">
        <v>376</v>
      </c>
    </row>
    <row r="31" customFormat="false" ht="15" hidden="false" customHeight="false" outlineLevel="0" collapsed="false">
      <c r="A31" s="8" t="s">
        <v>321</v>
      </c>
      <c r="B31" s="8" t="s">
        <v>377</v>
      </c>
      <c r="C31" s="8" t="s">
        <v>378</v>
      </c>
    </row>
    <row r="32" customFormat="false" ht="15" hidden="false" customHeight="false" outlineLevel="0" collapsed="false">
      <c r="A32" s="8" t="s">
        <v>321</v>
      </c>
      <c r="B32" s="8" t="s">
        <v>379</v>
      </c>
      <c r="C32" s="8" t="s">
        <v>380</v>
      </c>
    </row>
  </sheetData>
  <autoFilter ref="A1:C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2026-09-30T22:41:25Z</dcterms:created>
  <dc:creator>openpyxl</dc:creator>
  <dc:description/>
  <dc:language>en-US</dc:language>
  <cp:lastModifiedBy/>
  <dcterms:modified xsi:type="dcterms:W3CDTF">2026-09-30T22:41:25Z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