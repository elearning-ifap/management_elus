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Synthèse" sheetId="1" state="visible" r:id="rId3"/>
    <sheet name="1_Sources" sheetId="2" state="visible" r:id="rId4"/>
    <sheet name="2_Matrice exhaustive" sheetId="3" state="visible" r:id="rId5"/>
    <sheet name="3_Architecture" sheetId="4" state="visible" r:id="rId6"/>
    <sheet name="4_Exigences CDC" sheetId="5" state="visible" r:id="rId7"/>
    <sheet name="5_Contrôles" sheetId="6" state="visible" r:id="rId8"/>
    <sheet name="6_Couverture UX18I-N" sheetId="7" state="visible" r:id="rId9"/>
    <sheet name="7_Synthèse livrée" sheetId="8" state="visible" r:id="rId10"/>
    <sheet name="8_À vérifier" sheetId="9" state="visible" r:id="rId11"/>
    <sheet name="9_Méthode" sheetId="10" state="visible" r:id="rId12"/>
  </sheets>
  <definedNames>
    <definedName function="false" hidden="true" localSheetId="6" name="_xlnm._FilterDatabase" vbProcedure="false">'6_Couverture UX18I-N'!$A$4:$J$1083</definedName>
    <definedName function="false" hidden="true" localSheetId="8" name="_xlnm._FilterDatabase" vbProcedure="false">'8_À vérifier'!$A$4:$G$4</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<sst xmlns="http://schemas.openxmlformats.org/spreadsheetml/2006/main" count="22389" uniqueCount="2693">
  <si>
    <t xml:space="preserve">Matrice de couverture et de transformation exhaustive</t>
  </si>
  <si>
    <t xml:space="preserve">Corpus de Marie-Noëlle Lopez × cahier des charges validé — version de travail traçable</t>
  </si>
  <si>
    <t xml:space="preserve">Indicateur</t>
  </si>
  <si>
    <t xml:space="preserve">Valeur</t>
  </si>
  <si>
    <t xml:space="preserve">Mode d’emploi</t>
  </si>
  <si>
    <t xml:space="preserve">Documents sources de Marie-Noëlle</t>
  </si>
  <si>
    <t xml:space="preserve">La feuille 2_Matrice exhaustive constitue la table de référence : chaque paragraphe, titre ou ligne de tableau du corpus possède un identifiant unique, son texte exact, sa séquence cible et son traitement. La feuille 3_Architecture montre la recomposition en six séquences. La feuille 4_Exigences relie le cahier des charges aux preuves attendues. La feuille 5_Contrôles permet de vérifier qu’aucune source n’a été perdue.</t>
  </si>
  <si>
    <t xml:space="preserve">Blocs textuels inventoriés</t>
  </si>
  <si>
    <t xml:space="preserve">Mots source inventoriés</t>
  </si>
  <si>
    <t xml:space="preserve">Exigences du cahier des charges tracées</t>
  </si>
  <si>
    <t xml:space="preserve">Principe de couverture</t>
  </si>
  <si>
    <t xml:space="preserve">100 % des blocs sont affectés à une cible et à un traitement</t>
  </si>
  <si>
    <t xml:space="preserve">Légende des transformations</t>
  </si>
  <si>
    <t xml:space="preserve">Statut</t>
  </si>
  <si>
    <t xml:space="preserve">Signification</t>
  </si>
  <si>
    <t xml:space="preserve">Règle de travail</t>
  </si>
  <si>
    <t xml:space="preserve">Texte source conservé</t>
  </si>
  <si>
    <t xml:space="preserve">Le contenu est intégré au mot près.</t>
  </si>
  <si>
    <t xml:space="preserve">Seuls le découpage d’écran et la médiatisation changent.</t>
  </si>
  <si>
    <t xml:space="preserve">Déplacement sans perte</t>
  </si>
  <si>
    <t xml:space="preserve">Le bloc change de module ou de séquence.</t>
  </si>
  <si>
    <t xml:space="preserve">L’intitulé et le contenu restent traçables.</t>
  </si>
  <si>
    <t xml:space="preserve">Transformation de forme</t>
  </si>
  <si>
    <t xml:space="preserve">Tableau, fiche ou liste devient un composant numérique.</t>
  </si>
  <si>
    <t xml:space="preserve">Aucune information source ne disparaît.</t>
  </si>
  <si>
    <t xml:space="preserve">Adaptation légère à valider</t>
  </si>
  <si>
    <t xml:space="preserve">La consigne est ajustée pour l’UX ou l’accessibilité.</t>
  </si>
  <si>
    <t xml:space="preserve">Marie-Noëlle valide la microcopie finale.</t>
  </si>
  <si>
    <t xml:space="preserve">Adaptation obligatoire</t>
  </si>
  <si>
    <t xml:space="preserve">Une règle source contredit le cahier des charges.</t>
  </si>
  <si>
    <t xml:space="preserve">La source reste visible dans la matrice ; le produit applique l’arbitrage supérieur.</t>
  </si>
  <si>
    <t xml:space="preserve">Validation documentaire</t>
  </si>
  <si>
    <t xml:space="preserve">La référence ou le fondement doit être vérifié.</t>
  </si>
  <si>
    <t xml:space="preserve">Aucune référence n’est inventée.</t>
  </si>
  <si>
    <t xml:space="preserve">Inventaire du corpus</t>
  </si>
  <si>
    <t xml:space="preserve">Contrôle quantitatif des documents fournis par Marie-Noëlle</t>
  </si>
  <si>
    <t xml:space="preserve">Code</t>
  </si>
  <si>
    <t xml:space="preserve">Document source</t>
  </si>
  <si>
    <t xml:space="preserve">Blocs extraits</t>
  </si>
  <si>
    <t xml:space="preserve">Mots extraits</t>
  </si>
  <si>
    <t xml:space="preserve">Blocs présents dans la matrice</t>
  </si>
  <si>
    <t xml:space="preserve">Écart</t>
  </si>
  <si>
    <t xml:space="preserve">M0</t>
  </si>
  <si>
    <t xml:space="preserve">MODULE 0 — MON AUTO-POSITIONNEMENT DE MANAGER.docx</t>
  </si>
  <si>
    <t xml:space="preserve">Couverture complète</t>
  </si>
  <si>
    <t xml:space="preserve">M1</t>
  </si>
  <si>
    <t xml:space="preserve">MODULE 1 — COMPRENDRE MON RÔLE DE MANAGER ÉLU DU CONGRES .docx</t>
  </si>
  <si>
    <t xml:space="preserve">M2</t>
  </si>
  <si>
    <t xml:space="preserve">MODULE 2 — CONSTITUER LA BONNE ÉQUIPE.docx</t>
  </si>
  <si>
    <t xml:space="preserve">M3</t>
  </si>
  <si>
    <t xml:space="preserve">MODULE 3 — DONNER DU CAP SANS TOUT CONTRÔLER.docx</t>
  </si>
  <si>
    <t xml:space="preserve">M4</t>
  </si>
  <si>
    <t xml:space="preserve">MODULE 4 — COMMUNIQUER COMME MANAGER .docx</t>
  </si>
  <si>
    <t xml:space="preserve">M5</t>
  </si>
  <si>
    <t xml:space="preserve">MODULE 5 — GÉRER LES TENSIONS.docx</t>
  </si>
  <si>
    <t xml:space="preserve">M6</t>
  </si>
  <si>
    <t xml:space="preserve">MODULE 6 — MON AUTORITÉ AJUSTÉE.docx</t>
  </si>
  <si>
    <t xml:space="preserve">M7</t>
  </si>
  <si>
    <t xml:space="preserve">MODULE 7 — MON PLAN D'ACTION DE MANDAT.docx</t>
  </si>
  <si>
    <t xml:space="preserve">A4</t>
  </si>
  <si>
    <t xml:space="preserve">Z - Annexe Module 4 — Fiche « Les mots qui piquent _ les mots qui soutiennent ».docx</t>
  </si>
  <si>
    <t xml:space="preserve">A5</t>
  </si>
  <si>
    <t xml:space="preserve">Z - Annexe Module 5 — Deux grilles de questions puissantes.docx</t>
  </si>
  <si>
    <t xml:space="preserve">BIENVENUE</t>
  </si>
  <si>
    <t xml:space="preserve">_  Bienvenue dans votre parcours.docx</t>
  </si>
  <si>
    <t xml:space="preserve">Matrice exhaustive — corpus de Marie-Noëlle</t>
  </si>
  <si>
    <t xml:space="preserve">Une ligne par bloc source ; aucune suppression implicite. Filtrer par source, séquence cible, fonction ou statut.</t>
  </si>
  <si>
    <t xml:space="preserve">ID</t>
  </si>
  <si>
    <t xml:space="preserve">Source</t>
  </si>
  <si>
    <t xml:space="preserve">Module source</t>
  </si>
  <si>
    <t xml:space="preserve">Ordre</t>
  </si>
  <si>
    <t xml:space="preserve">Localisation source</t>
  </si>
  <si>
    <t xml:space="preserve">Type de bloc</t>
  </si>
  <si>
    <t xml:space="preserve">Texte source exact</t>
  </si>
  <si>
    <t xml:space="preserve">Séquence cible</t>
  </si>
  <si>
    <t xml:space="preserve">Fonction pédagogique</t>
  </si>
  <si>
    <t xml:space="preserve">Transformation proposée</t>
  </si>
  <si>
    <t xml:space="preserve">Statut de transformation</t>
  </si>
  <si>
    <t xml:space="preserve">Fidélité attendue</t>
  </si>
  <si>
    <t xml:space="preserve">Validation</t>
  </si>
  <si>
    <t xml:space="preserve">MNL-0001</t>
  </si>
  <si>
    <t xml:space="preserve">MODULE 0 — MON AUTO-POSITIONNEMENT DE MANAGER</t>
  </si>
  <si>
    <t xml:space="preserve">Titre</t>
  </si>
  <si>
    <t xml:space="preserve">Entrée + S6 — Comparaison finale</t>
  </si>
  <si>
    <t xml:space="preserve">Positionnement / boucle réflexive</t>
  </si>
  <si>
    <t xml:space="preserve">Conserver les formulations ; intégrer au positionnement initial ou à la comparaison finale selon la cible.</t>
  </si>
  <si>
    <t xml:space="preserve">Texte source conservé + orchestration</t>
  </si>
  <si>
    <t xml:space="preserve">Au mot près</t>
  </si>
  <si>
    <t xml:space="preserve">Contrôle IFAP</t>
  </si>
  <si>
    <t xml:space="preserve">MNL-0002</t>
  </si>
  <si>
    <t xml:space="preserve">Votre photographie de départ</t>
  </si>
  <si>
    <t xml:space="preserve">MNL-0003</t>
  </si>
  <si>
    <t xml:space="preserve">Fiche signalétique</t>
  </si>
  <si>
    <t xml:space="preserve">Métadonnée de conception</t>
  </si>
  <si>
    <t xml:space="preserve">Conserver dans les spécifications ; ne pas afficher telle quelle à l’apprenant.</t>
  </si>
  <si>
    <t xml:space="preserve">Adaptation nécessaire</t>
  </si>
  <si>
    <t xml:space="preserve">Source visible ; adaptation tracée</t>
  </si>
  <si>
    <t xml:space="preserve">MNL-0004</t>
  </si>
  <si>
    <t xml:space="preserve">Ligne de tableau</t>
  </si>
  <si>
    <t xml:space="preserve">Élément | Détail</t>
  </si>
  <si>
    <t xml:space="preserve">MNL-0005</t>
  </si>
  <si>
    <t xml:space="preserve">Durée totale | 30 minutes maximum</t>
  </si>
  <si>
    <t xml:space="preserve">MNL-0006</t>
  </si>
  <si>
    <t xml:space="preserve">Niveau atteint | Diagnostic</t>
  </si>
  <si>
    <t xml:space="preserve">MNL-0007</t>
  </si>
  <si>
    <t xml:space="preserve">Prérequis | Aucun — module d'entrée dans le parcours</t>
  </si>
  <si>
    <t xml:space="preserve">MNL-0008</t>
  </si>
  <si>
    <t xml:space="preserve">Indicateur mesurable | Score de profil managérial à T0 (référence pour la mesure finale, Module 7)</t>
  </si>
  <si>
    <t xml:space="preserve">MNL-0009</t>
  </si>
  <si>
    <t xml:space="preserve">Condition de passage | Complétion de l'auto-positionnement — pas de bonne ou de mauvaise réponse ici, seule la complétude ouvre l'accès au Module 1</t>
  </si>
  <si>
    <t xml:space="preserve">MNL-0010</t>
  </si>
  <si>
    <t xml:space="preserve">Objectifs pédagogiques — à l'issue du module, l'apprenant(e) est capable de : Se situer sur les grandes dimensions qui seront travaillées tout au long du parcours ; Formuler une intention personnelle claire pour la suite de son parcours ; Comprendre la logique de progression du parcours, et ce qui l'attend module après module.</t>
  </si>
  <si>
    <t xml:space="preserve">MNL-0011</t>
  </si>
  <si>
    <t xml:space="preserve">Séquençage (30 min)</t>
  </si>
  <si>
    <t xml:space="preserve">MNL-0012</t>
  </si>
  <si>
    <t xml:space="preserve"># | Étape | Durée | Modalité</t>
  </si>
  <si>
    <t xml:space="preserve">MNL-0013</t>
  </si>
  <si>
    <t xml:space="preserve">0 | Scénario d'ouverture (vidéo, dialogue avant / après) | 2 min | Vidéo</t>
  </si>
  <si>
    <t xml:space="preserve">MNL-0014</t>
  </si>
  <si>
    <t xml:space="preserve">1 | Pourquoi ce point de départ compte | 3 min | Contenu court</t>
  </si>
  <si>
    <t xml:space="preserve">MNL-0015</t>
  </si>
  <si>
    <t xml:space="preserve">2 | Votre auto-positionnement, en 6 dimensions | 15 min | Quiz interactif</t>
  </si>
  <si>
    <t xml:space="preserve">MNL-0016</t>
  </si>
  <si>
    <t xml:space="preserve">3 | Votre photographie de départ | 4 min | Restitution visuelle</t>
  </si>
  <si>
    <t xml:space="preserve">MNL-0017</t>
  </si>
  <si>
    <t xml:space="preserve">4 | Une intention pour votre parcours | 4 min | Réponse libre</t>
  </si>
  <si>
    <t xml:space="preserve">Entrée — Contrat pédagogique</t>
  </si>
  <si>
    <t xml:space="preserve">MNL-0018</t>
  </si>
  <si>
    <t xml:space="preserve">5 | Ce qui vous attend | 2 min | Repère de progression</t>
  </si>
  <si>
    <t xml:space="preserve">MNL-0019</t>
  </si>
  <si>
    <t xml:space="preserve">0. Scénario d'ouverture — script pour vidéo IA (dialogue avant / après)</t>
  </si>
  <si>
    <t xml:space="preserve">MNL-0020</t>
  </si>
  <si>
    <t xml:space="preserve">Paragraphe</t>
  </si>
  <si>
    <t xml:space="preserve">Durée cible : 60-75 secondes. Ton : chaleureux, incarné. Cette scène n'illustre pas un seul module, mais l'ensemble du parcours — c'est la bande-annonce, pas une leçon.</t>
  </si>
  <si>
    <t xml:space="preserve">MNL-0021</t>
  </si>
  <si>
    <t xml:space="preserve">Personnages : un(e) élu(e), et un(e) collaborateur(trice). Décor unique : un bureau.</t>
  </si>
  <si>
    <t xml:space="preserve">MNL-0022</t>
  </si>
  <si>
    <t xml:space="preserve">Scène 1 — Aujourd'hui, peut-être.</t>
  </si>
  <si>
    <t xml:space="preserve">MNL-0023</t>
  </si>
  <si>
    <t xml:space="preserve">L'élu(e), débordé(e), plusieurs dossiers ouverts en même temps, répond au téléphone tout en parcourant un document. Un(e) collaborateur(trice) entre, hésite, repart sans avoir posé sa question.</t>
  </si>
  <si>
    <t xml:space="preserve">MNL-0024</t>
  </si>
  <si>
    <t xml:space="preserve">Élu(e), au téléphone, essoufflé(e) : « Oui, je regarde ça... non, pas encore, je reviens vers vous... »</t>
  </si>
  <si>
    <t xml:space="preserve">MNL-0025</t>
  </si>
  <si>
    <t xml:space="preserve">Bascule à l'écran : « Et si, quelques mois plus tard... »</t>
  </si>
  <si>
    <t xml:space="preserve">MNL-0026</t>
  </si>
  <si>
    <t xml:space="preserve">Scène 2 — Plus tard dans le mandat.</t>
  </si>
  <si>
    <t xml:space="preserve">MNL-0027</t>
  </si>
  <si>
    <t xml:space="preserve">Même bureau, même élu(e) — mais le rythme a changé. Le/la collaborateur(trice) entre, pose une question précise.</t>
  </si>
  <si>
    <t xml:space="preserve">MNL-0028</t>
  </si>
  <si>
    <t xml:space="preserve">Collaborateur(trice) : « J'ai une proposition pour le dossier, vous voulez qu'on en parle deux minutes ? »</t>
  </si>
  <si>
    <t xml:space="preserve">MNL-0029</t>
  </si>
  <si>
    <t xml:space="preserve">Élu(e), disponible, pose ce qu'il/elle faisait : « Allez-y, je vous écoute. »</t>
  </si>
  <si>
    <t xml:space="preserve">MNL-0030</t>
  </si>
  <si>
    <t xml:space="preserve">Voix off : “Entre ces deux scènes, rien n'a changé dans la charge du mandat. Ce qui a changé, ce sont quelques réflexes — de posture, de communication, de délégation.”</t>
  </si>
  <si>
    <t xml:space="preserve">MNL-0031</t>
  </si>
  <si>
    <t xml:space="preserve">Ce parcours ne vous demande pas de devenir quelqu'un d'autre. Il vous donne des repères simples pour retrouver, dans votre quotidien, un peu plus de la seconde scène. Avant de commencer, prenons une photographie de là où vous en êtes aujourd'hui</t>
  </si>
  <si>
    <t xml:space="preserve">MNL-0032</t>
  </si>
  <si>
    <t xml:space="preserve">1. Pourquoi ce point de départ compte</t>
  </si>
  <si>
    <t xml:space="preserve">Structuration</t>
  </si>
  <si>
    <t xml:space="preserve">Conserver comme repère éditorial ; fusionner ou déplacer sous la séquence cible sans perdre l’intitulé source.</t>
  </si>
  <si>
    <t xml:space="preserve">MNL-0033</t>
  </si>
  <si>
    <t xml:space="preserve">On ajuste mieux ce que l'on a d'abord regardé en face.</t>
  </si>
  <si>
    <t xml:space="preserve">MNL-0034</t>
  </si>
  <si>
    <t xml:space="preserve">Ce premier module ne vous apprend rien de nouveau. Il vous propose un temps court pour observer, sincèrement, où vous en êtes aujourd'hui sur les grandes dimensions du management d'équipe — avant que le parcours ne les travaille une à une.</t>
  </si>
  <si>
    <t xml:space="preserve">Apport / message pédagogique</t>
  </si>
  <si>
    <t xml:space="preserve">Intégrer au mot près dans le premier prototype exhaustif ; segmenter en écrans ou révélations progressives sans réécriture de fond.</t>
  </si>
  <si>
    <t xml:space="preserve">MNL-0035</t>
  </si>
  <si>
    <t xml:space="preserve">Les références</t>
  </si>
  <si>
    <t xml:space="preserve">Référence / fondement</t>
  </si>
  <si>
    <t xml:space="preserve">Conserver la formulation et rendre la source visible au moment utile ; vérifier la référence complète avant diffusion.</t>
  </si>
  <si>
    <t xml:space="preserve">Marie-Noëlle</t>
  </si>
  <si>
    <t xml:space="preserve">MNL-0036</t>
  </si>
  <si>
    <t xml:space="preserve">Un repère qui vient de la recherche sur la motivation et les objectifs Les travaux d'Edwin Locke et Gary Latham, menés sur plusieurs décennies et régulièrement confirmés depuis, montrent qu'un objectif clair, formulé précisément et choisi par la personne elle-même, produit un engagement et une progression plus solides qu'une intention vague ou imposée de l'extérieur. Se donner un point de départ précis n'est donc pas un exercice administratif : c'est ce qui rend la suite du parcours plus efficace. (Repère issu de la recherche en psychologie du travail. Référence : Locke, E. A., &amp; Latham, G. P. (2002). Building a practically useful theory of goal setting and task motivation. American Psychologist, 57(9), 705-717.)</t>
  </si>
  <si>
    <t xml:space="preserve">MNL-0037</t>
  </si>
  <si>
    <t xml:space="preserve">Ce que l'on peut en retenir — Ce score de départ n'évalue rien, ne juge personne, et ne sera comparé à celui de personne d'autre. Il vous appartient, et il n'a qu'un seul usage : vous permettre, à la fin du parcours, de mesurer votre propre chemin</t>
  </si>
  <si>
    <t xml:space="preserve">Apport structuré</t>
  </si>
  <si>
    <t xml:space="preserve">Conserver chaque entrée ; restituer en tableau, cartes, accordéon ou grille responsive selon l’usage.</t>
  </si>
  <si>
    <t xml:space="preserve">MNL-0038</t>
  </si>
  <si>
    <t xml:space="preserve">"On ne peut pas ajuster ce qu'on n'a jamais regardé en face."</t>
  </si>
  <si>
    <t xml:space="preserve">MNL-0039</t>
  </si>
  <si>
    <t xml:space="preserve">2. Votre auto-positionnement, en 6 dimensions</t>
  </si>
  <si>
    <t xml:space="preserve">MNL-0040</t>
  </si>
  <si>
    <t xml:space="preserve">Pour chaque affirmation, positionnez-vous sur une échelle de 1 (pas du tout d'accord) à 5 (tout à fait d'accord). Répondez avec ce qui est vrai aujourd'hui, pas avec ce que vous aimeriez pouvoir répondre.</t>
  </si>
  <si>
    <t xml:space="preserve">MNL-0041</t>
  </si>
  <si>
    <t xml:space="preserve">Dimension 1 — Clarté de rôle</t>
  </si>
  <si>
    <t xml:space="preserve">MNL-0042</t>
  </si>
  <si>
    <t xml:space="preserve">« Je sais clairement, à tout moment, ce qui relève de moi et ce qui relève de l'administration. »</t>
  </si>
  <si>
    <t xml:space="preserve">MNL-0043</t>
  </si>
  <si>
    <t xml:space="preserve">« Ma position reste toujours clairement la mienne, même quand mon cabinet s'exprime en mon nom. »</t>
  </si>
  <si>
    <t xml:space="preserve">MNL-0044</t>
  </si>
  <si>
    <t xml:space="preserve">Dimension 2 — Constitution d'équipe</t>
  </si>
  <si>
    <t xml:space="preserve">MNL-0045</t>
  </si>
  <si>
    <t xml:space="preserve">« Mon équipe actuelle réunit des profils complémentaires, pas seulement des personnes qui pensent comme moi. »</t>
  </si>
  <si>
    <t xml:space="preserve">MNL-0046</t>
  </si>
  <si>
    <t xml:space="preserve">« J'ai une méthode claire pour intégrer un nouveau collaborateur. »</t>
  </si>
  <si>
    <t xml:space="preserve">MNL-0047</t>
  </si>
  <si>
    <t xml:space="preserve">Dimension 3 — Délégation</t>
  </si>
  <si>
    <t xml:space="preserve">MNL-0048</t>
  </si>
  <si>
    <t xml:space="preserve">« Je délègue facilement, y compris les dossiers à enjeu. »</t>
  </si>
  <si>
    <t xml:space="preserve">MNL-0049</t>
  </si>
  <si>
    <t xml:space="preserve">« Face à un problème qu'un collaborateur m'apporte, je résiste à l'envie de le régler moi-même. »</t>
  </si>
  <si>
    <t xml:space="preserve">MNL-0050</t>
  </si>
  <si>
    <t xml:space="preserve">Dimension 4 — Communication</t>
  </si>
  <si>
    <t xml:space="preserve">MNL-0051</t>
  </si>
  <si>
    <t xml:space="preserve">« Mes retours à mes collaborateurs sont précis et construits, pas seulement généraux. »</t>
  </si>
  <si>
    <t xml:space="preserve">MNL-0052</t>
  </si>
  <si>
    <t xml:space="preserve">« Je choisis mes mots avec attention, même sous pression. »</t>
  </si>
  <si>
    <t xml:space="preserve">MNL-0053</t>
  </si>
  <si>
    <t xml:space="preserve">Dimension 5 — Gestion des tensions</t>
  </si>
  <si>
    <t xml:space="preserve">MNL-0054</t>
  </si>
  <si>
    <t xml:space="preserve">« Je repère les tensions dans mon équipe avant qu'elles n'éclatent. »</t>
  </si>
  <si>
    <t xml:space="preserve">MNL-0055</t>
  </si>
  <si>
    <t xml:space="preserve">« J'interviens rapidement dès les premiers signes de friction. »</t>
  </si>
  <si>
    <t xml:space="preserve">MNL-0056</t>
  </si>
  <si>
    <t xml:space="preserve">Dimension 6 — Autorité ajustée</t>
  </si>
  <si>
    <t xml:space="preserve">MNL-0057</t>
  </si>
  <si>
    <t xml:space="preserve">Sur une échelle de 1 à 10, où 1 correspond à "je tranche presque toujours moi-même, vite" et 10 à "je laisse presque toujours l'initiative aux autres" — où vous situeriez-vous aujourd'hui, dans les situations de tension ou de décision rapide ?</t>
  </si>
  <si>
    <t xml:space="preserve">MNL-0058</t>
  </si>
  <si>
    <t xml:space="preserve">Info interne (Cette échelle est la même que celle utilisée en ouverture et en clôture du Module 6 — elle permettra une comparaison directe.)</t>
  </si>
  <si>
    <t xml:space="preserve">MNL-0059</t>
  </si>
  <si>
    <t xml:space="preserve">3. Votre photographie de départ</t>
  </si>
  <si>
    <t xml:space="preserve">MNL-0060</t>
  </si>
  <si>
    <t xml:space="preserve">Un profil visuel (radar à 6 branches) s'affiche à l'écran, construit à partir de vos réponses — un score par dimension, sans note globale ni classement.</t>
  </si>
  <si>
    <t xml:space="preserve">MNL-0061</t>
  </si>
  <si>
    <t xml:space="preserve">Ce que ce profil n'est pas — une évaluation de vos compétences, ni un pronostic sur votre mandat.</t>
  </si>
  <si>
    <t xml:space="preserve">MNL-0062</t>
  </si>
  <si>
    <t xml:space="preserve">Ce que ce profil est — une photographie honnête, prise à un instant T, qui n'a de valeur que comparée à elle-même, plus tard dans le parcours.</t>
  </si>
  <si>
    <t xml:space="preserve">MNL-0063</t>
  </si>
  <si>
    <t xml:space="preserve">Ce score est conservé et affiché à la fin de chaque module concerné, ainsi qu'en clôture du Module 7, pour visualiser votre évolution sur l'ensemble du parcours.)</t>
  </si>
  <si>
    <t xml:space="preserve">MNL-0064</t>
  </si>
  <si>
    <t xml:space="preserve">4. Une intention pour votre parcours</t>
  </si>
  <si>
    <t xml:space="preserve">MNL-0065</t>
  </si>
  <si>
    <t xml:space="preserve">Avant de continuer, une question simple :</t>
  </si>
  <si>
    <t xml:space="preserve">MNL-0066</t>
  </si>
  <si>
    <t xml:space="preserve">Si vous deviez ne retenir qu'une seule dimension à travailler en priorité dans ce parcours, laquelle choisiriez-vous, et pourquoi ?</t>
  </si>
  <si>
    <t xml:space="preserve">MNL-0067</t>
  </si>
  <si>
    <t xml:space="preserve">(Champ de réponse libre.)</t>
  </si>
  <si>
    <t xml:space="preserve">MNL-0068</t>
  </si>
  <si>
    <t xml:space="preserve">Info interne (Cette intention est reprise en fin de Module 7, pour vérifier si elle a été suivie, ajustée, ou dépassée par d'autres priorités apparues en cours de route.)</t>
  </si>
  <si>
    <t xml:space="preserve">MNL-0069</t>
  </si>
  <si>
    <t xml:space="preserve">5. Ce que vous allez explorer</t>
  </si>
  <si>
    <t xml:space="preserve">MNL-0070</t>
  </si>
  <si>
    <t xml:space="preserve">Le parcours suit une progression : il part de ce point de départ, traverse des compétences de plus en plus concrètes — rôle, équipe, délégation, communication, tensions — converge vers la question de fond de votre posture d'autorité, et se clôt sur un engagement que vous choisirez vous-même.</t>
  </si>
  <si>
    <t xml:space="preserve">MNL-0071</t>
  </si>
  <si>
    <t xml:space="preserve">Étape | Ce que vous y trouverez</t>
  </si>
  <si>
    <t xml:space="preserve">MNL-0072</t>
  </si>
  <si>
    <t xml:space="preserve">Modules 1 et 2 | Clarifier votre rôle, et constituer l'équipe qui vous entoure</t>
  </si>
  <si>
    <t xml:space="preserve">MNL-0073</t>
  </si>
  <si>
    <t xml:space="preserve">Modules 3, 4 et 5 | Déléguer avec confiance, communiquer avec impact, désamorcer les tensions dès leurs premiers signes</t>
  </si>
  <si>
    <t xml:space="preserve">MNL-0074</t>
  </si>
  <si>
    <t xml:space="preserve">Module 6 | Le module différenciant : trouver votre propre curseur d'autorité</t>
  </si>
  <si>
    <t xml:space="preserve">MNL-0075</t>
  </si>
  <si>
    <t xml:space="preserve">Module 7 | Transformer ce que vous avez appris en un engagement concret pour votre mandat</t>
  </si>
  <si>
    <t xml:space="preserve">MNL-0076</t>
  </si>
  <si>
    <t xml:space="preserve">Chaque module reprend cette photographie de départ à sa manière — pour que vous puissiez, à chaque étape, mesurer un chemin qui vous appartient.</t>
  </si>
  <si>
    <t xml:space="preserve">MNL-0077</t>
  </si>
  <si>
    <t xml:space="preserve">Votre photographie de départ est posée. Le Module 1 vous attend.</t>
  </si>
  <si>
    <t xml:space="preserve">MNL-0078</t>
  </si>
  <si>
    <t xml:space="preserve">MODULE 1 — COMPRENDRE MON RÔLE DE MANAGER ÉLU</t>
  </si>
  <si>
    <t xml:space="preserve">S1 — Prendre ma place de manager</t>
  </si>
  <si>
    <t xml:space="preserve">MNL-0079</t>
  </si>
  <si>
    <t xml:space="preserve">Ma voix politique, mon cabinet, l’administration</t>
  </si>
  <si>
    <t xml:space="preserve">MNL-0080</t>
  </si>
  <si>
    <t xml:space="preserve">MNL-0081</t>
  </si>
  <si>
    <t xml:space="preserve">MNL-0082</t>
  </si>
  <si>
    <t xml:space="preserve">MNL-0083</t>
  </si>
  <si>
    <t xml:space="preserve">Niveau atteint | Sensibilisation</t>
  </si>
  <si>
    <t xml:space="preserve">MNL-0084</t>
  </si>
  <si>
    <t xml:space="preserve">Prérequis | Module 0 complété</t>
  </si>
  <si>
    <t xml:space="preserve">MNL-0085</t>
  </si>
  <si>
    <t xml:space="preserve">Indicateur mesurable | Taux de réussite au quiz de positionnement des rôles</t>
  </si>
  <si>
    <t xml:space="preserve">MNL-0086</t>
  </si>
  <si>
    <t xml:space="preserve">Condition de passage | Quiz de validation repassable autant de fois que nécessaire, sans limite de tentatives, jusqu'à réussite</t>
  </si>
  <si>
    <t xml:space="preserve">MNL-0087</t>
  </si>
  <si>
    <t xml:space="preserve">Objectifs pédagogiques — à l'issue du module, l'apprenant(e) est capable de : Distinguer sa voix politique individuelle (position, vote) de celle de son cabinet et de celle de son groupe politique ; Différencier les rôles de l'élu(e), du collaborateur, de l'administration et des partenaires dans l'exécution d'un dossier ; Adopter les bons réflexes dans les moments où cette clarté devient sensible — commission, presse, sollicitation urgente.</t>
  </si>
  <si>
    <t xml:space="preserve">MNL-0088</t>
  </si>
  <si>
    <t xml:space="preserve">MNL-0089</t>
  </si>
  <si>
    <t xml:space="preserve">MNL-0090</t>
  </si>
  <si>
    <t xml:space="preserve">MNL-0091</t>
  </si>
  <si>
    <t xml:space="preserve">1 | Avant de débuter, un instantané de vous-même | 3 min | Auto-évaluation</t>
  </si>
  <si>
    <t xml:space="preserve">MNL-0092</t>
  </si>
  <si>
    <t xml:space="preserve">2 | Le rôle de l'élu(e) au Congrès | 5 min | Contenu</t>
  </si>
  <si>
    <t xml:space="preserve">MNL-0093</t>
  </si>
  <si>
    <t xml:space="preserve">3 | Qui fait quoi, qui parle en mon nom | 9 min | Contenu + exercices</t>
  </si>
  <si>
    <t xml:space="preserve">MNL-0094</t>
  </si>
  <si>
    <t xml:space="preserve">4 | Que feriez-vous dans cette situation ? | 5 min | Mini-scénarios</t>
  </si>
  <si>
    <t xml:space="preserve">MNL-0095</t>
  </si>
  <si>
    <t xml:space="preserve">5 | On vérifie dans la vraie vie | 4 min | Mise en situation</t>
  </si>
  <si>
    <t xml:space="preserve">MNL-0096</t>
  </si>
  <si>
    <t xml:space="preserve">6 | Petit bilan en 3 questions | 1 min | Réflexion personnelle</t>
  </si>
  <si>
    <t xml:space="preserve">MNL-0097</t>
  </si>
  <si>
    <t xml:space="preserve">7 | Quiz de validation + essentiels | 1 min | Quiz noté</t>
  </si>
  <si>
    <t xml:space="preserve">MNL-0098</t>
  </si>
  <si>
    <t xml:space="preserve">0.Scénario d'ouverture — script pour vidéo IA (dialogue avant / après)</t>
  </si>
  <si>
    <t xml:space="preserve">MNL-0099</t>
  </si>
  <si>
    <t xml:space="preserve">Durée cible : 60-75 secondes. Ton : sobre, crédible, quotidien. 2 personnages : l'élu(e) et un agent du secrétariat général. 1 décor : les bureaux du secrétariat général du Congrès, en fin de session.</t>
  </si>
  <si>
    <t xml:space="preserve">MNL-0100</t>
  </si>
  <si>
    <t xml:space="preserve">Situation de départ (identique dans les deux versions). Un texte doit être finalisé avant la clôture de la session, dans quelques heures. L'élu(e), pressé(e) par l'échéance, se rend directement dans les bureaux du secrétariat général.</t>
  </si>
  <si>
    <t xml:space="preserve">MNL-0101</t>
  </si>
  <si>
    <t xml:space="preserve">Élu(e) : « Il faut absolument que ce paragraphe soit revu avant demain matin. »</t>
  </si>
  <si>
    <t xml:space="preserve">MNL-0102</t>
  </si>
  <si>
    <t xml:space="preserve">Version A — Le rôle mal placé</t>
  </si>
  <si>
    <t xml:space="preserve">MNL-0103</t>
  </si>
  <si>
    <t xml:space="preserve">L'élu(e) s'adresse directement à l'agent qui rédige le texte, sans passer par le secrétaire général :</t>
  </si>
  <si>
    <t xml:space="preserve">MNL-0104</t>
  </si>
  <si>
    <t xml:space="preserve">Élu(e) : « Changez cette formulation comme ça, je vous dis exactement quoi mettre. »</t>
  </si>
  <si>
    <t xml:space="preserve">MNL-0105</t>
  </si>
  <si>
    <t xml:space="preserve">Impact visible : le lendemain, le secrétaire général découvre qu'une modification a été apportée directement par un élu, sans lui, sans vérification de la régularité juridique du texte. Le risque n'est pas seulement relationnel — une formulation non vérifiée peut fragiliser le texte lui-même.</t>
  </si>
  <si>
    <t xml:space="preserve">MNL-0106</t>
  </si>
  <si>
    <t xml:space="preserve">Bascule à l'écran : « Rejouons cette même scène. »</t>
  </si>
  <si>
    <t xml:space="preserve">MNL-0107</t>
  </si>
  <si>
    <t xml:space="preserve">Version B — Le rôle bien placé</t>
  </si>
  <si>
    <t xml:space="preserve">MNL-0108</t>
  </si>
  <si>
    <t xml:space="preserve">L'élu(e) s'adresse au secrétaire général :</t>
  </si>
  <si>
    <t xml:space="preserve">MNL-0109</t>
  </si>
  <si>
    <t xml:space="preserve">Élu(e) : « J'ai besoin que ce paragraphe soit ajusté avant demain — pouvez-vous voir avec votre équipe ce qui est possible, dans les règles ? »</t>
  </si>
  <si>
    <t xml:space="preserve">MNL-0110</t>
  </si>
  <si>
    <t xml:space="preserve">Impact visible : le secrétaire général instruit lui-même l'agent compétent. Le texte est modifié dans les délais, la régularité juridique est vérifiée, et l'élu(e) obtient exactement ce dont il/elle avait besoin — sans avoir eu à trancher un point qui n'était pas le sien.</t>
  </si>
  <si>
    <t xml:space="preserve">MNL-0111</t>
  </si>
  <si>
    <t xml:space="preserve">Voix off : « Ce réflexe ne concerne pas que votre cabinet. Il vous concerne vous, en premier lieu.</t>
  </si>
  <si>
    <t xml:space="preserve">MNL-0112</t>
  </si>
  <si>
    <t xml:space="preserve">Même pressé(e) par une échéance, le rôle exécutif — modifier directement un texte — appartient à l'administration, pas à l'élu(e), même quand c'est vous qui portez l'urgence. Votre rôle, à cet instant, c'est de donner le cap et l'échéance — pas la formulation.</t>
  </si>
  <si>
    <t xml:space="preserve">MNL-0113</t>
  </si>
  <si>
    <t xml:space="preserve">Ce module vous donne des repères simples pour vous situer, vous, et situer ceux qui vous entourent. »</t>
  </si>
  <si>
    <t xml:space="preserve">MNL-0114</t>
  </si>
  <si>
    <t xml:space="preserve">(Fondu sur le titre du</t>
  </si>
  <si>
    <t xml:space="preserve">MNL-0115</t>
  </si>
  <si>
    <t xml:space="preserve">module.)</t>
  </si>
  <si>
    <t xml:space="preserve">MNL-0116</t>
  </si>
  <si>
    <t xml:space="preserve">Une distinction fondamentale L'élu décide et assume son mandat. Le groupe organise une action politique collective. Le collaborateur contribue au fonctionnement et accompagne l'activité de l'élu ou du groupe. Ces trois places interagissent, mais ne se confondent pas.</t>
  </si>
  <si>
    <t xml:space="preserve">MNL-0117</t>
  </si>
  <si>
    <t xml:space="preserve">1. Avant de débuter un instantané de vous-même</t>
  </si>
  <si>
    <t xml:space="preserve">MNL-0118</t>
  </si>
  <si>
    <t xml:space="preserve">Un temps court d'auto-positionnement — les mêmes 3 questions seront re posées en fin de module.</t>
  </si>
  <si>
    <t xml:space="preserve">MNL-0119</t>
  </si>
  <si>
    <t xml:space="preserve">1. Sur quels sujets sentez-vous que votre rôle est déjà clair aujourd'hui ? (Champ de réponse libre.)</t>
  </si>
  <si>
    <t xml:space="preserve">MNL-0120</t>
  </si>
  <si>
    <t xml:space="preserve">2. Où sentez-vous parfois une confusion — avec votre collaborateur, votre groupe politique, ou l'administration ? (Champ de réponse libre.)</t>
  </si>
  <si>
    <t xml:space="preserve">MNL-0121</t>
  </si>
  <si>
    <t xml:space="preserve">3. Qu'aimeriez-vous clarifier en sortant de ce module ? (Champ de réponse libre, même de façon encore floue à ce stade.)</t>
  </si>
  <si>
    <t xml:space="preserve">MNL-0122</t>
  </si>
  <si>
    <t xml:space="preserve">(Ces trois réponses sont conservées et reaffichées en fin de module, section 6.)</t>
  </si>
  <si>
    <t xml:space="preserve">MNL-0123</t>
  </si>
  <si>
    <t xml:space="preserve">2. Le rôle de l'élu(e) au Congrès</t>
  </si>
  <si>
    <t xml:space="preserve">MNL-0124</t>
  </si>
  <si>
    <t xml:space="preserve">Votre vote vous appartient. Votre parole aussi — encore faut-il qu'elle reste la vôtre.</t>
  </si>
  <si>
    <t xml:space="preserve">MNL-0125</t>
  </si>
  <si>
    <t xml:space="preserve">Un mandat au Congrès place l'élu(e) au centre d'un écosystème qu'il/elle ne maîtrise pas seul(e) : un cabinet, un groupe politique, une administration, des partenaires, des électeurs. La tentation, sous pression ou par souci de bien faire, est de vouloir tout porter ou tout trancher personnellement, ou à l'inverse de laisser d'autres parler à sa place pour aller plus vite. C'est souvent là que les tensions démarrent — pas par manque de bonne volonté, mais par un rôle mal placé au mauvais moment.</t>
  </si>
  <si>
    <t xml:space="preserve">MNL-0126</t>
  </si>
  <si>
    <t xml:space="preserve">Le Congrès fonctionne selon une mécanique bien particulière : les textes (lois du pays, délibérations) sont d'abord examinés en commission, où un(e) élu(e) rapporteur(e) présente le dossier et où les échanges affinent la position de chacun, avant un vote en séance plénière. Entre ces deux temps, une position peut évoluer, se nuancer, s'amender — ce qui rend toute communication prématurée risquée.</t>
  </si>
  <si>
    <t xml:space="preserve">MNL-0127</t>
  </si>
  <si>
    <t xml:space="preserve">LA REF</t>
  </si>
  <si>
    <t xml:space="preserve">MNL-0128</t>
  </si>
  <si>
    <t xml:space="preserve">Un repère institutionnel Le Congrès et le Gouvernement de la Nouvelle-Calédonie sont organisés par la loi organique n° 99-209 du 19 mars 1999 relative à la Nouvelle-Calédonie. Le Congrès compte 54 conseillers de la Nouvelle-Calédonie. En son sein, les élus peuvent se constituer en groupes d'élus, dans les conditions prévues par l'article 79 de la loi organique et par le règlement intérieur du Congrès. Ces groupes permettent d'organiser le travail collectif et l'expression de positions politiques communes, sans se confondre avec le mandat exercé personnellement par chaque élu. Les collaborateurs des élus et des groupes d'élus occupent, quant à eux, une place distincte de celle des élus. Leur cadre juridique relève notamment de la loi organique du 19 mars 1999, du règlement intérieur du Congrès et des dispositions propres à la Nouvelle-Calédonie relatives aux collaborateurs des institutions et collectivités. Ils exercent des fonctions d'appui, de conseil et de préparation au service de l'activité politique et institutionnelle, sans être eux-mêmes titulaires du mandat électif. Loi organique n° 99-209 du 19 mars 1999 relative à la Nouvelle-Calédonie Article 62 : définit le Congrès comme l'assemblée délibérante de la Nouvelle-Calédonie et fixe sa composition à 54 membres : 7 des Îles Loyauté, 15 du Nord et 32 du Sud. Article 79 : reconnaît et organise juridiquement les « groupes d'élus ». Il prévoit leur constitution, leurs moyens de fonctionnement et les personnels nécessaires à leur fonctionnement. Ces personnels sont nommés par le président du Congrès sur proposition de chaque groupe. Article 80 : confirme le rôle institutionnel des groupes, puisque la commission permanente est notamment constituée à la représentation proportionnelle des groupes d'élus. Article 110 : autre illustration de leur rôle politique et institutionnel : les listes de candidats au Gouvernement sont présentées par les groupes d'élus définis à l'article 79.</t>
  </si>
  <si>
    <t xml:space="preserve">Activité / consigne</t>
  </si>
  <si>
    <t xml:space="preserve">Conserver le sens et le texte expert ; adapter uniquement la microcopie aux contraintes d’accessibilité et d’interaction.</t>
  </si>
  <si>
    <t xml:space="preserve">MNL-0129</t>
  </si>
  <si>
    <t xml:space="preserve">Une précision utile pour la suite de ce parcours Vous êtes élu(e) au Congrès. Sachez que, par le mode d'élection propre à la Nouvelle-Calédonie, vous êtes également élu(e) à l'assemblée de votre province : une même élection désigne à la fois les membres de l'assemblée de province et, parmi eux, les membres du Congrès. Selon les sujets que vous traitez, vos interlocuteurs administratifs peuvent donc relever de votre province, ou du Congrès et du Gouvernement de la Nouvelle-Calédonie. Ce module se concentre sur votre rôle au Congrès — gardez cette réalité en tête, elle explique pourquoi vos circuits varient d'un dossier à l'autre.</t>
  </si>
  <si>
    <t xml:space="preserve">MNL-0130</t>
  </si>
  <si>
    <t xml:space="preserve">Ce que l'on peut en retenir — Un rôle bien tenu n'est pas un rôle qui fait tout, ni un rôle qui laisse les autres décider à sa place. C'est un rôle qui sait, à chaque instant, ce qui lui revient à lui — et ce qui revient à quelqu'un d'autre.</t>
  </si>
  <si>
    <t xml:space="preserve">MNL-0131</t>
  </si>
  <si>
    <t xml:space="preserve">3. Qui fait quoi, qui parle en mon nom</t>
  </si>
  <si>
    <t xml:space="preserve">MNL-0132</t>
  </si>
  <si>
    <t xml:space="preserve">3.1 Qui fait quoi</t>
  </si>
  <si>
    <t xml:space="preserve">MNL-0133</t>
  </si>
  <si>
    <t xml:space="preserve">Objectif — Savoir, à tout moment, ce qui relève de vous et ce qui relève d'un autre acteur de l'écosystème institutionnel.</t>
  </si>
  <si>
    <t xml:space="preserve">MNL-0134</t>
  </si>
  <si>
    <t xml:space="preserve">Concept — Quatre rôles distincts coexistent autour de vous : l'élu(e), le collaborateur de cabinet, l'administration, les partenaires. Chacun porte une légitimité différente ; aucun ne peut se substituer aux autres sans créer de confusion.</t>
  </si>
  <si>
    <t xml:space="preserve">MNL-0135</t>
  </si>
  <si>
    <t xml:space="preserve">Principe — Le tableau ci-dessous résume ce que porte chaque rôle, ce qu'il fait, et ce qu'il ne fait pas :</t>
  </si>
  <si>
    <t xml:space="preserve">MNL-0136</t>
  </si>
  <si>
    <t xml:space="preserve">Rôle | Ce qu'il porte | Ce qu'il fait | Ce qu'il ne fait pas</t>
  </si>
  <si>
    <t xml:space="preserve">MNL-0137</t>
  </si>
  <si>
    <t xml:space="preserve">L'élu(e) du Congrès | La légitimité politique, la vision, le vote | Décide des orientations, arbitre, rend compte aux électeurs | N'instruit pas les dossiers techniques, n'exécute pas au quotidien</t>
  </si>
  <si>
    <t xml:space="preserve">MNL-0138</t>
  </si>
  <si>
    <t xml:space="preserve">Le collaborateur / la collaboratrice de cabinet | La confiance directe de l'élu(e) | Traduit la volonté politique en instructions, coordonne, alerte | Ne se substitue pas à l'administration, ne décide pas à la place de l'élu(e)</t>
  </si>
  <si>
    <t xml:space="preserve">MNL-0139</t>
  </si>
  <si>
    <t xml:space="preserve">L'administration (secrétariat général du Congrès, administration du Gouvernement) | La continuité du service public, la neutralité | Instruit les textes, organise les commissions et séances, garantit la régularité des procédures | Ne porte pas d'orientation politique, ne tranche pas le fond des textes</t>
  </si>
  <si>
    <t xml:space="preserve">MNL-0140</t>
  </si>
  <si>
    <t xml:space="preserve">Les partenaires (provinces, communes, État, entreprises, associations) | Un intérêt ou un service propre à défendre | Sollicitent, proposent, exécutent dans leur champ | N'ont pas à court-circuiter le circuit institutionnel, même pour de bonnes raisons</t>
  </si>
  <si>
    <t xml:space="preserve">MNL-0141</t>
  </si>
  <si>
    <t xml:space="preserve">Utilité — Cette clarté évite les décisions non instruites, les tensions de circuit, et les attentes déçues — elle protège autant vous que votre équipe et vos partenaires.</t>
  </si>
  <si>
    <t xml:space="preserve">MNL-0142</t>
  </si>
  <si>
    <t xml:space="preserve">Mise en pratique — Avant d'agir ou de transmettre une demande, une seule question à se poser : "Est-ce que ceci relève de moi, ou dois-je l'orienter vers quelqu'un d'autre ?"</t>
  </si>
  <si>
    <t xml:space="preserve">MNL-0143</t>
  </si>
  <si>
    <t xml:space="preserve">À vous de jouer</t>
  </si>
  <si>
    <t xml:space="preserve">MNL-0144</t>
  </si>
  <si>
    <t xml:space="preserve">Un collaborateur de cabinet, pressé, demande directement au secrétariat général du Congrès de modifier la rédaction d'un projet de délibération, sans en informer l'élu(e). Quel est le risque ? a) Aucun, c'est un gain de temps utile b) Une modification peut être apportée sans que l'élu(e) l'ait validée sur le fond (bonne réponse) c) Le secrétariat général refusera de toute façon</t>
  </si>
  <si>
    <t xml:space="preserve">MNL-0145</t>
  </si>
  <si>
    <t xml:space="preserve">3.2 Qui parle, et au nom de qui</t>
  </si>
  <si>
    <t xml:space="preserve">MNL-0146</t>
  </si>
  <si>
    <t xml:space="preserve">Objectif — Garantir que votre parole politique reste la vôtre, et seulement la vôtre, y compris quand d'autres voix s'expriment autour de vous.</t>
  </si>
  <si>
    <t xml:space="preserve">MNL-0147</t>
  </si>
  <si>
    <t xml:space="preserve">Concept — Trois voix distinctes coexistent autour de vous sur un même dossier : la vôtre, celle de votre cabinet, celle de votre groupe politique. Chacune a sa fonction propre, et aucune ne peut parler à la place d'une autre sans risque.</t>
  </si>
  <si>
    <t xml:space="preserve">MNL-0148</t>
  </si>
  <si>
    <t xml:space="preserve">Principe — Le tableau ci-dessous résume ce que porte chaque voix, ce qu'elle fait, et ce qu'elle ne fait pas :</t>
  </si>
  <si>
    <t xml:space="preserve">MNL-0149</t>
  </si>
  <si>
    <t xml:space="preserve">MNL-0150</t>
  </si>
  <si>
    <t xml:space="preserve">L'élu(e) du Congrès | Sa voix politique individuelle, son vote | Prend position, vote, s'exprime publiquement en son nom | N'est jamais présumé(e) avoir une position avant de l'avoir lui/elle-même arrêtée</t>
  </si>
  <si>
    <t xml:space="preserve">MNL-0151</t>
  </si>
  <si>
    <t xml:space="preserve">Le collaborateur / la collaboratrice de cabinet | La préparation du dossier, l'appui | Prépare les argumentaires, relaie les demandes, alerte | Ne prend jamais position publique à la place de l'élu(e)</t>
  </si>
  <si>
    <t xml:space="preserve">MNL-0152</t>
  </si>
  <si>
    <t xml:space="preserve">Le groupe politique (et son président / porte-parole) | La ligne collective, la cohérence du groupe | Peut porter une position commune sur certains textes | Ne remplace pas la liberté de vote propre de chaque élu(e) sur les textes hors discipline de groupe</t>
  </si>
  <si>
    <t xml:space="preserve">MNL-0153</t>
  </si>
  <si>
    <t xml:space="preserve">Utilité — Cette distinction évite les prises de position prématurées, les contradictions publiques, et les tensions internes à votre groupe politique.</t>
  </si>
  <si>
    <t xml:space="preserve">MNL-0154</t>
  </si>
  <si>
    <t xml:space="preserve">Mise en pratique — Avant toute prise de parole publique sur un texte, une seule question à se poser : "Ai-je moi-même arrêté cette position, à ce stade précis du dossier ?" Si la réponse n'est pas un "oui" clair, la réponse à donner est : "pas encore, je reviens vers vous."</t>
  </si>
  <si>
    <t xml:space="preserve">MNL-0155</t>
  </si>
  <si>
    <t xml:space="preserve">Essentiel à retenir — Deux questions suffisent la plupart du temps : 1- Qui exécute ? l’administration, jamais le cabinet 2- Qui parle ? : l'élu(e), une fois sa position réellement arrêtée)</t>
  </si>
  <si>
    <t xml:space="preserve">MNL-0156</t>
  </si>
  <si>
    <t xml:space="preserve">4. Études de cas contextualisées</t>
  </si>
  <si>
    <t xml:space="preserve">Mise en situation</t>
  </si>
  <si>
    <t xml:space="preserve">Conserver le cas au mot près comme noyau ; enrichir le contexte et convertir en choix, réponse ouverte ou embranchement.</t>
  </si>
  <si>
    <t xml:space="preserve">Texte source conservé + médiatisation</t>
  </si>
  <si>
    <t xml:space="preserve">MNL-0157</t>
  </si>
  <si>
    <t xml:space="preserve">Trois situations courtes, pour couvrir les deux dimensions vues juste avant.</t>
  </si>
  <si>
    <t xml:space="preserve">MNL-0158</t>
  </si>
  <si>
    <t xml:space="preserve">Situation 1 — Le groupe politique adopte une position commune sur un texte, mais vous avez, à titre personnel, des réserves sur un article précis.</t>
  </si>
  <si>
    <t xml:space="preserve">MNL-0159</t>
  </si>
  <si>
    <t xml:space="preserve">Quel est le bon réflexe ?</t>
  </si>
  <si>
    <t xml:space="preserve">MNL-0160</t>
  </si>
  <si>
    <t xml:space="preserve">a) Garder ces réserves pour vous jusqu'au vote, pour ne pas déstabiliser le groupe</t>
  </si>
  <si>
    <t xml:space="preserve">MNL-0161</t>
  </si>
  <si>
    <t xml:space="preserve">b) En discuter en interne au groupe avant la séance, plutôt que de découvrir la divergence en public (bonne réponse)</t>
  </si>
  <si>
    <t xml:space="preserve">MNL-0162</t>
  </si>
  <si>
    <t xml:space="preserve">c) Voter contre sans prévenir, pour marquer votre indépendance</t>
  </si>
  <si>
    <t xml:space="preserve">MNL-0163</t>
  </si>
  <si>
    <t xml:space="preserve">Situation 2 — Une association attend une réponse rapide sur votre soutien à un projet de délibération encore en commission.</t>
  </si>
  <si>
    <t xml:space="preserve">MNL-0164</t>
  </si>
  <si>
    <t xml:space="preserve">Quelle est la bonne réponse à ce stade ?</t>
  </si>
  <si>
    <t xml:space="preserve">MNL-0165</t>
  </si>
  <si>
    <t xml:space="preserve">a) Donner un accord de principe verbal, pour rassurer l'association</t>
  </si>
  <si>
    <t xml:space="preserve">MNL-0166</t>
  </si>
  <si>
    <t xml:space="preserve">b) Indiquer que le texte est encore en commission, et donner un calendrier de retour (bonne réponse)</t>
  </si>
  <si>
    <t xml:space="preserve">MNL-0167</t>
  </si>
  <si>
    <t xml:space="preserve">c) Ne pas répondre tant que le vote n'a pas eu lieu</t>
  </si>
  <si>
    <t xml:space="preserve">MNL-0168</t>
  </si>
  <si>
    <t xml:space="preserve">Situation 3 — Votre collaborateur(trice) reçoit, en votre absence, une sollicitation de la presse pour un commentaire à chaud sur un vote qui vient d'avoir lieu.</t>
  </si>
  <si>
    <t xml:space="preserve">MNL-0169</t>
  </si>
  <si>
    <t xml:space="preserve">Quel est le bon réflexe du collaborateur ?</t>
  </si>
  <si>
    <t xml:space="preserve">MNL-0170</t>
  </si>
  <si>
    <t xml:space="preserve">a) Donner un commentaire général, dans l'esprit de ce que l'élu(e) aurait probablement dit</t>
  </si>
  <si>
    <t xml:space="preserve">MNL-0171</t>
  </si>
  <si>
    <t xml:space="preserve">b) Indiquer qu'il/elle transmet la demande à l'élu(e), qui reviendra directement vers la presse (bonne réponse)</t>
  </si>
  <si>
    <t xml:space="preserve">MNL-0172</t>
  </si>
  <si>
    <t xml:space="preserve">c) Ne pas répondre du tout, par prudence</t>
  </si>
  <si>
    <t xml:space="preserve">MNL-0173</t>
  </si>
  <si>
    <t xml:space="preserve">5. On vérifie dans la vraie vie</t>
  </si>
  <si>
    <t xml:space="preserve">MNL-0174</t>
  </si>
  <si>
    <t xml:space="preserve">Cas concret</t>
  </si>
  <si>
    <t xml:space="preserve">MNL-0175</t>
  </si>
  <si>
    <t xml:space="preserve">Situation. Une commission examine, dans deux jours, un texte sensible pour votre secteur. Votre collaborateur(trice) vous a préparé une synthèse des enjeux et une proposition d'argumentaire, mais vous n'avez pas encore arrêté votre position définitive.</t>
  </si>
  <si>
    <t xml:space="preserve">MNL-0176</t>
  </si>
  <si>
    <t xml:space="preserve">Votre mission, si vous l'acceptez. Rédigez le message que vous adresseriez à votre collaborateur(trice) pour cadrer clairement, avant la commission, ce qui relève de sa préparation et ce qui reste de votre décision à vous.</t>
  </si>
  <si>
    <t xml:space="preserve">MNL-0177</t>
  </si>
  <si>
    <t xml:space="preserve">(Champ de saisie libre.)</t>
  </si>
  <si>
    <t xml:space="preserve">MNL-0178</t>
  </si>
  <si>
    <t xml:space="preserve">Grille d'auto-évaluation affichée après la saisie</t>
  </si>
  <si>
    <t xml:space="preserve">MNL-0179</t>
  </si>
  <si>
    <t xml:space="preserve">Critère | Oui | Partiellement | Pas encore</t>
  </si>
  <si>
    <t xml:space="preserve">MNL-0180</t>
  </si>
  <si>
    <t xml:space="preserve">J'ai reconnu la qualité du travail de préparation | ☐ | ☐ | ☐</t>
  </si>
  <si>
    <t xml:space="preserve">MNL-0181</t>
  </si>
  <si>
    <t xml:space="preserve">J'ai clarifié que la position finale reste la mienne, à trancher avant la commission | ☐ | ☐ | ☐</t>
  </si>
  <si>
    <t xml:space="preserve">MNL-0182</t>
  </si>
  <si>
    <t xml:space="preserve">J'ai donné une échéance claire pour arrêter cette position | ☐ | ☐ | ☐</t>
  </si>
  <si>
    <t xml:space="preserve">MNL-0183</t>
  </si>
  <si>
    <t xml:space="preserve">6. Petit bilan en 3 questions</t>
  </si>
  <si>
    <t xml:space="preserve">MNL-0184</t>
  </si>
  <si>
    <t xml:space="preserve">1. Qu'est-ce qui, avec ce module, vous semble déjà clair dans votre positionnement ? (Champ de réponse libre.)</t>
  </si>
  <si>
    <t xml:space="preserve">MNL-0185</t>
  </si>
  <si>
    <t xml:space="preserve">2. Quelle situation — presse, commission, groupe politique, administration — identifiez-vous encore comme un point de vigilance ? (Champ de réponse libre.)</t>
  </si>
  <si>
    <t xml:space="preserve">MNL-0186</t>
  </si>
  <si>
    <t xml:space="preserve">3. Dans un futur proche Quel est le premier geste concret que vous mettrez en place, et quelle sera le bénéfice immédiat (Champ de réponse libre.)</t>
  </si>
  <si>
    <t xml:space="preserve">MNL-0187</t>
  </si>
  <si>
    <t xml:space="preserve">(Ce triptyque alimente le plan d'action du Module 7 du parcours.)</t>
  </si>
  <si>
    <t xml:space="preserve">MNL-0188</t>
  </si>
  <si>
    <t xml:space="preserve">7. Quiz de validation (repassable sans limite, jusqu'à réussite, pour débloquer le Module 6)</t>
  </si>
  <si>
    <t xml:space="preserve">Évaluation formative</t>
  </si>
  <si>
    <t xml:space="preserve">Répartir à la fin de la séquence cible ; rendre rejouable ; remplacer le verrouillage par une complétion sans seuil.</t>
  </si>
  <si>
    <t xml:space="preserve">MNL-0189</t>
  </si>
  <si>
    <t xml:space="preserve">La légitimité de l'élu(e) repose sur : a) Sa connaissance technique des dossiers b) Le mandat politique reçu des électeurs (bonne réponse) c) Son ancienneté au Congrès</t>
  </si>
  <si>
    <t xml:space="preserve">MNL-0190</t>
  </si>
  <si>
    <t xml:space="preserve">Une position politique sur un texte doit être communiquée : a) Dès que le cabinet a une idée de ce que l'élu(e) pense b) Une fois que l'élu(e) l'a lui/elle-même arrêtée (bonne réponse) c) Dès le dépôt du texte, pour être réactif</t>
  </si>
  <si>
    <t xml:space="preserve">MNL-0191</t>
  </si>
  <si>
    <t xml:space="preserve">Le rôle de l'administration (secrétariat général, services du Gouvernement) est de : a) Décider des orientations politiques b) Instruire, organiser, garantir la régularité des procédures (bonne réponse) c) Représenter les partenaires</t>
  </si>
  <si>
    <t xml:space="preserve">MNL-0192</t>
  </si>
  <si>
    <t xml:space="preserve">La position d'un groupe politique sur un texte : a) Remplace toujours le vote individuel de chaque élu(e) b) Peut coexister avec des réserves individuelles, à exprimer en interne avant la séance (bonne réponse) c) N'a aucune valeur si l'élu(e) n'est pas d'accord</t>
  </si>
  <si>
    <t xml:space="preserve">MNL-0193</t>
  </si>
  <si>
    <t xml:space="preserve">Face à une sollicitation presse sur une position non encore arrêtée, le bon réflexe du collaborateur est de : a) Répondre dans l'esprit de ce que l'élu(e) aurait probablement dit b) Transmettre la demande à l'élu(e) (bonne réponse) c) Ne jamais répondre à la presse</t>
  </si>
  <si>
    <t xml:space="preserve">MNL-0194</t>
  </si>
  <si>
    <t xml:space="preserve">Les essentiels à retenir</t>
  </si>
  <si>
    <t xml:space="preserve">MNL-0195</t>
  </si>
  <si>
    <t xml:space="preserve">Autour de vous, plusieurs voix et plusieurs rôles coexistent : les vôtres, ceux de votre cabinet, ceux de votre groupe, ceux de l'administration. Aucun ne remplace les autres.</t>
  </si>
  <si>
    <t xml:space="preserve">MNL-0196</t>
  </si>
  <si>
    <t xml:space="preserve">Quatre réflexes simples :</t>
  </si>
  <si>
    <t xml:space="preserve">MNL-0197</t>
  </si>
  <si>
    <t xml:space="preserve">Votre position vous appartient : elle ne se communique qu'une fois réellement arrêtée par vous.</t>
  </si>
  <si>
    <t xml:space="preserve">MNL-0198</t>
  </si>
  <si>
    <t xml:space="preserve">Le cabinet prépare, il ne tranche pas — et il ne se substitue pas non plus à l'administration.</t>
  </si>
  <si>
    <t xml:space="preserve">MNL-0199</t>
  </si>
  <si>
    <t xml:space="preserve">L'administration exécute et garantit la régularité — elle ne porte pas votre orientation politique à votre place.</t>
  </si>
  <si>
    <t xml:space="preserve">MNL-0200</t>
  </si>
  <si>
    <t xml:space="preserve">Une divergence avec votre groupe se règle en interne, avant la séance — jamais découverte en public.</t>
  </si>
  <si>
    <t xml:space="preserve">MNL-0201</t>
  </si>
  <si>
    <t xml:space="preserve">Transition vers le Module 2 — Constituer la bonne équipe : une fois le rôle de chacun posé, la question devient : avec qui l'exercer ?</t>
  </si>
  <si>
    <t xml:space="preserve">MNL-0202</t>
  </si>
  <si>
    <t xml:space="preserve">MODULE 2 — CONSTITUER LA BONNE ÉQUIPE</t>
  </si>
  <si>
    <t xml:space="preserve">S2 — Construire une équipe sur laquelle je peux m’appuyer</t>
  </si>
  <si>
    <t xml:space="preserve">MNL-0203</t>
  </si>
  <si>
    <t xml:space="preserve">Recruter et intégrer efficacement</t>
  </si>
  <si>
    <t xml:space="preserve">MNL-0204</t>
  </si>
  <si>
    <t xml:space="preserve">MNL-0205</t>
  </si>
  <si>
    <t xml:space="preserve">MNL-0206</t>
  </si>
  <si>
    <t xml:space="preserve">Durée totale | 35 minutes</t>
  </si>
  <si>
    <t xml:space="preserve">MNL-0207</t>
  </si>
  <si>
    <t xml:space="preserve">Niveau atteint | Appropriation</t>
  </si>
  <si>
    <t xml:space="preserve">MNL-0208</t>
  </si>
  <si>
    <t xml:space="preserve">Prérequis | Module 1 complété</t>
  </si>
  <si>
    <t xml:space="preserve">MNL-0209</t>
  </si>
  <si>
    <t xml:space="preserve">Indicateur mesurable | Complétude de la check-list « 30 premiers jours » produite par l'apprenant</t>
  </si>
  <si>
    <t xml:space="preserve">MNL-0210</t>
  </si>
  <si>
    <t xml:space="preserve">MNL-0211</t>
  </si>
  <si>
    <t xml:space="preserve">Objectifs pédagogiques — à l'issue du module, l'apprenant(e) est capable de : Identifier les critères qui comptent réellement au moment de constituer son équipe, au-delà de la seule confiance personnelle ; Repérer les erreurs fréquentes de recrutement et d'intégration dans un cabinet ; Produire une check-list « 30 premiers jours » prête à l'emploi pour l'arrivée d'un nouveau collaborateur.</t>
  </si>
  <si>
    <t xml:space="preserve">MNL-0212</t>
  </si>
  <si>
    <t xml:space="preserve">Séquençage (35 min)</t>
  </si>
  <si>
    <t xml:space="preserve">MNL-0213</t>
  </si>
  <si>
    <t xml:space="preserve">MNL-0214</t>
  </si>
  <si>
    <t xml:space="preserve">MNL-0215</t>
  </si>
  <si>
    <t xml:space="preserve">1 | Avant de débuter, un instantané de vous-même | 2 min | Auto-évaluation</t>
  </si>
  <si>
    <t xml:space="preserve">MNL-0216</t>
  </si>
  <si>
    <t xml:space="preserve">2 | Ce qui fait une équipe qui tient la route | 6 min | Contenu</t>
  </si>
  <si>
    <t xml:space="preserve">MNL-0217</t>
  </si>
  <si>
    <t xml:space="preserve">3 | Bien choisir, bien intégrer | 10 min | Contenu + exercices</t>
  </si>
  <si>
    <t xml:space="preserve">MNL-0218</t>
  </si>
  <si>
    <t xml:space="preserve">4 | Que feriez-vous dans cette situation ? | 6 min | Mini-scénarios</t>
  </si>
  <si>
    <t xml:space="preserve">MNL-0219</t>
  </si>
  <si>
    <t xml:space="preserve">5 | Votre check-list « 30 premiers jours » | 6 min | Construction du livrable</t>
  </si>
  <si>
    <t xml:space="preserve">MNL-0220</t>
  </si>
  <si>
    <t xml:space="preserve">6 | Petit bilan en 3 questions | 2 min | Réflexion personnelle</t>
  </si>
  <si>
    <t xml:space="preserve">MNL-0221</t>
  </si>
  <si>
    <t xml:space="preserve">MNL-0222</t>
  </si>
  <si>
    <t xml:space="preserve">MNL-0223</t>
  </si>
  <si>
    <t xml:space="preserve">Durée cible : 60-75 secondes. Ton : sobre, crédible, quotidien. 2 personnages : l'élu(e) et un(e) collaborateur(trice) déjà en poste. 1 décor : un bureau.</t>
  </si>
  <si>
    <t xml:space="preserve">MNL-0224</t>
  </si>
  <si>
    <t xml:space="preserve">Situation de départ (identique dans les deux versions). L'élu(e) hésite entre deux profils pour rejoindre son cabinet, et en parle avec un(e) collaborateur(trice) déjà en poste.</t>
  </si>
  <si>
    <t xml:space="preserve">MNL-0225</t>
  </si>
  <si>
    <t xml:space="preserve">Collaborateur(trice) : « Vous avez tranché, pour le poste ? »</t>
  </si>
  <si>
    <t xml:space="preserve">MNL-0226</t>
  </si>
  <si>
    <t xml:space="preserve">MNL-0227</t>
  </si>
  <si>
    <t xml:space="preserve">Élu(e) : « Je vais prendre [candidat A]. Je le/la connais depuis des années, il/elle pense comme moi, je lui fais une confiance aveugle. »</t>
  </si>
  <si>
    <t xml:space="preserve">MNL-0228</t>
  </si>
  <si>
    <t xml:space="preserve">Bascule à l'écran : « Quelques semaines plus tard, même bureau. »</t>
  </si>
  <si>
    <t xml:space="preserve">MNL-0229</t>
  </si>
  <si>
    <t xml:space="preserve">Collaborateur(trice) : « On est bloqués sur l'analyse budgétaire du dossier — personne dans l'équipe n'est vraiment à l'aise avec les chiffres, en fait. »</t>
  </si>
  <si>
    <t xml:space="preserve">MNL-0230</t>
  </si>
  <si>
    <t xml:space="preserve">L'élu(e) réalise que toute l'équipe partage les mêmes réflexes, et le même angle mort.</t>
  </si>
  <si>
    <t xml:space="preserve">MNL-0231</t>
  </si>
  <si>
    <t xml:space="preserve">Bascule à l'écran : « Rejouons cette même scène, depuis le début. »</t>
  </si>
  <si>
    <t xml:space="preserve">MNL-0232</t>
  </si>
  <si>
    <t xml:space="preserve">MNL-0233</t>
  </si>
  <si>
    <t xml:space="preserve">Élu(e) : « Je vais prendre [candidat B]. Je la/le connais moins personnellement, mais elle/il apporte une compétence qu'on n'a pas du tout dans l'équipe. »</t>
  </si>
  <si>
    <t xml:space="preserve">MNL-0234</t>
  </si>
  <si>
    <t xml:space="preserve">MNL-0235</t>
  </si>
  <si>
    <t xml:space="preserve">Collaborateur(trice) : « Sur l'analyse budgétaire, [candidat B] a pris le sujet en main direct — on ne l'aurait pas vu venir aussi bien sans elle/lui. »</t>
  </si>
  <si>
    <t xml:space="preserve">MNL-0236</t>
  </si>
  <si>
    <t xml:space="preserve">L'équipe couvre un angle qu'elle n'aurait pas couvert autrement.</t>
  </si>
  <si>
    <t xml:space="preserve">MNL-0237</t>
  </si>
  <si>
    <t xml:space="preserve">Voix off : « Dans les deux versions, le premier critère semblait être la confiance. Mais la confiance ne suffit pas à faire tenir une équipe : encore faut-il qu'elle se complète, pas seulement qu'elle se ressemble.</t>
  </si>
  <si>
    <t xml:space="preserve">MNL-0238</t>
  </si>
  <si>
    <t xml:space="preserve">Ce module vous donne des repères pour choisir, et pour bien accueillir ceux qui rejoignent votre équipe.</t>
  </si>
  <si>
    <t xml:space="preserve">MNL-0239</t>
  </si>
  <si>
    <t xml:space="preserve">MNL-0240</t>
  </si>
  <si>
    <t xml:space="preserve">Un temps court d'auto-positionnement — les mêmes 3 questions seront reposées en fin de module.</t>
  </si>
  <si>
    <t xml:space="preserve">MNL-0241</t>
  </si>
  <si>
    <t xml:space="preserve">1. Qu'est-ce qui, dans votre équipe actuelle, fonctionne déjà bien en matière de complémentarité ? (Champ de réponse libre.)</t>
  </si>
  <si>
    <t xml:space="preserve">MNL-0242</t>
  </si>
  <si>
    <t xml:space="preserve">2. Où sentez-vous un angle mort — une compétence ou un profil qui manque à votre équipe ? (Champ de réponse libre.)</t>
  </si>
  <si>
    <t xml:space="preserve">MNL-0243</t>
  </si>
  <si>
    <t xml:space="preserve">MNL-0244</t>
  </si>
  <si>
    <t xml:space="preserve">(Ces trois réponses sont conservées et ré affichées en fin de module, section 6.)</t>
  </si>
  <si>
    <t xml:space="preserve">MNL-0245</t>
  </si>
  <si>
    <t xml:space="preserve">2. Ce qui fait une équipe qui tient la route</t>
  </si>
  <si>
    <t xml:space="preserve">MNL-0246</t>
  </si>
  <si>
    <t xml:space="preserve">Une équipe qui se ressemble trop a souvent les mêmes angles morts.</t>
  </si>
  <si>
    <t xml:space="preserve">MNL-0247</t>
  </si>
  <si>
    <t xml:space="preserve">Face à un recrutement, le réflexe le plus naturel est de chercher quelqu'un en qui on a confiance — souvent quelqu'un qui nous ressemble, qui partage nos façons de voir. C'est rassurant. Mais une équipe entièrement construite sur ce principe finit, presque toujours, par buter sur les mêmes manques.</t>
  </si>
  <si>
    <t xml:space="preserve">MNL-0248</t>
  </si>
  <si>
    <t xml:space="preserve">MNL-0249</t>
  </si>
  <si>
    <t xml:space="preserve">Un repère qui vient des sciences du management Les recherches sur la composition des équipes, notamment les travaux de Meredith Belbin (1981), montrent qu'une équipe performe mieux quand elle réunit des profils qui se complètent — certains à l'aise avec l'analyse et le détail, d'autres avec la relation et la négociation, d'autres encore avec l'organisation ou l'anticipation des risques — plutôt que des profils qui pensent tous de la même manière. Une équipe homogène peut sembler plus facile à diriger dans l'instant ; elle est souvent plus fragile face à l'imprévu. Une deuxième piste de recherche, portée notamment par Talya Bauer (2010) pour la Society for Human Resource Management, s'est penchée sur ce qui fait qu'un nouveau collaborateur s'intègre bien — ou pas. Quatre besoins reviennent systématiquement dans les premières semaines : être en règle sur le plan administratif, comprendre précisément ce qu'on attend de lui, saisir les codes non écrits de l'équipe, et se sentir relié aux personnes avec qui il va travailler. Négliger l'un de ces quatre besoins ralentit l'intégration, même quand le recrutement lui-même était le bon choix. (Repères issus des sciences du management. Références : Belbin, R. M. (1981). Management Teams: Why They Succeed or Fail. Butterworth-Heinemann — et Bauer, T. N. (2010). Onboarding New Employees: Maximizing Success. SHRM Foundation.)</t>
  </si>
  <si>
    <t xml:space="preserve">MNL-0250</t>
  </si>
  <si>
    <t xml:space="preserve">Ce que l'on peut en retenir — Bien recruter et bien intégrer sont deux étapes distinctes, aussi importantes l'une que l'autre. Un excellent recrutement mal intégré peut échouer ; Une intégration soignée ne rattrape pas un recrutement fondé sur le seul critère de la ressemblance.</t>
  </si>
  <si>
    <t xml:space="preserve">MNL-0251</t>
  </si>
  <si>
    <t xml:space="preserve">"Une équipe qui pense d'une seule voix n'a qu'une seule voix pour repérer les problèmes."</t>
  </si>
  <si>
    <t xml:space="preserve">MNL-0252</t>
  </si>
  <si>
    <t xml:space="preserve">3. Bien choisir, bien intégrer</t>
  </si>
  <si>
    <t xml:space="preserve">MNL-0253</t>
  </si>
  <si>
    <t xml:space="preserve">3.1 Bien choisir, au-delà de la confiance</t>
  </si>
  <si>
    <t xml:space="preserve">MNL-0254</t>
  </si>
  <si>
    <t xml:space="preserve">Objectif — Élargir les critères de choix d'un futur collaborateur, sans écarter la confiance, mais sans s'y limiter.</t>
  </si>
  <si>
    <t xml:space="preserve">MNL-0255</t>
  </si>
  <si>
    <t xml:space="preserve">Concept — Trois critères se complètent au moment de choisir : la loyauté (la fiabilité, la discrétion, l'alignement sur les valeurs du mandat), la compétence propre au poste, et la complémentarité avec l'équipe déjà en place.</t>
  </si>
  <si>
    <t xml:space="preserve">MNL-0256</t>
  </si>
  <si>
    <t xml:space="preserve">Principe — Un recrutement fondé sur un seul de ces trois critères laisse les deux autres au hasard.</t>
  </si>
  <si>
    <t xml:space="preserve">MNL-0257</t>
  </si>
  <si>
    <t xml:space="preserve">La loyauté seule peut produire une équipe qui ne se contredit jamais, y compris quand il le faudrait.</t>
  </si>
  <si>
    <t xml:space="preserve">MNL-0258</t>
  </si>
  <si>
    <t xml:space="preserve">La compétence seule, sans loyauté, peut fragiliser la confidentialité et la cohésion.</t>
  </si>
  <si>
    <t xml:space="preserve">MNL-0259</t>
  </si>
  <si>
    <t xml:space="preserve">La complémentarité seule, sans les deux autres, ne suffit pas à faire fonctionner l'équipe au quotidien.</t>
  </si>
  <si>
    <t xml:space="preserve">MNL-0260</t>
  </si>
  <si>
    <t xml:space="preserve">Utilité — Se poser consciemment les trois questions, plutôt qu'une seule, réduit le risque de reconstituer, recrutement après recrutement, une équipe qui pense toujours de la même façon.</t>
  </si>
  <si>
    <t xml:space="preserve">MNL-0261</t>
  </si>
  <si>
    <t xml:space="preserve">Mise en pratique — Avant un entretien, formuler explicitement : Qu'est-ce que cette personne apporterait, en compétence, que mon équipe n'a pas encore ?</t>
  </si>
  <si>
    <t xml:space="preserve">MNL-0262</t>
  </si>
  <si>
    <t xml:space="preserve">MNL-0263</t>
  </si>
  <si>
    <t xml:space="preserve">Vous avez le choix entre deux candidatures : l'une correspond à un profil déjà bien représenté dans votre équipe, l'autre apporte une compétence que personne n'a. À compétence et loyauté comparables, quel critère doit peser le plus ? a) Le profil déjà connu, pour la cohésion b) La complémentarité, pour couvrir un angle mort de l'équipe (bonne réponse) c) Toujours le plus diplômé des deux</t>
  </si>
  <si>
    <t xml:space="preserve">MNL-0264</t>
  </si>
  <si>
    <t xml:space="preserve">3.2 Bien intégrer, dès les premiers jours</t>
  </si>
  <si>
    <t xml:space="preserve">MNL-0265</t>
  </si>
  <si>
    <t xml:space="preserve">Objectif — Structurer les premières semaines d'un nouveau collaborateur, plutôt que de laisser l'intégration se faire au fil de l'eau.</t>
  </si>
  <si>
    <t xml:space="preserve">MNL-0266</t>
  </si>
  <si>
    <t xml:space="preserve">Concept — Quatre besoins reviennent systématiquement chez un nouveau collaborateur : être en règle administrativement, comprendre précisément son rôle, saisir les codes non écrits de l'équipe, et se sentir relié aux personnes avec qui il va travailler.</t>
  </si>
  <si>
    <t xml:space="preserve">MNL-0267</t>
  </si>
  <si>
    <t xml:space="preserve">Principe — Ces quatre besoins ne se couvrent pas dans le même temps ni de la même manière : le premier (être en règle) se traite en un jour, les trois autres se construisent sur plusieurs semaines et se laissent rarement au hasard sans en pâtir.</t>
  </si>
  <si>
    <t xml:space="preserve">MNL-0268</t>
  </si>
  <si>
    <t xml:space="preserve">Utilité — Une intégration bien structurée réduit le temps avant qu'un collaborateur soit pleinement autonome, et limite le risque de départ précoce, faute de repères.</t>
  </si>
  <si>
    <t xml:space="preserve">MNL-0269</t>
  </si>
  <si>
    <t xml:space="preserve">Mise en pratique — Construire, avant l'arrivée du collaborateur, une check-list couvrant les quatre besoins — c'est l'objet de la section 5 de ce module.</t>
  </si>
  <si>
    <t xml:space="preserve">MNL-0270</t>
  </si>
  <si>
    <t xml:space="preserve">Essentiel à retenir — Un collaborateur qui comprend vite son rôle, les codes de l'équipe et sa place dans le collectif devient autonome bien plus vite qu'un collaborateur seulement compétent, mais livré à lui-même.</t>
  </si>
  <si>
    <t xml:space="preserve">MNL-0271</t>
  </si>
  <si>
    <t xml:space="preserve">MNL-0272</t>
  </si>
  <si>
    <t xml:space="preserve">Que feriez-vous dans cette situation ?</t>
  </si>
  <si>
    <t xml:space="preserve">MNL-0273</t>
  </si>
  <si>
    <t xml:space="preserve">Situation 1 — Vous recrutez un(e) collaborateur(trice) principalement parce que vous le/la connaissez depuis longtemps et lui faites une confiance totale, sans évaluer précisément ses compétences sur le poste visé.</t>
  </si>
  <si>
    <t xml:space="preserve">MNL-0274</t>
  </si>
  <si>
    <t xml:space="preserve">Quel est le principal risque ?</t>
  </si>
  <si>
    <t xml:space="preserve">MNL-0275</t>
  </si>
  <si>
    <t xml:space="preserve">a) Aucun, la confiance suffit pour un cabinet</t>
  </si>
  <si>
    <t xml:space="preserve">MNL-0276</t>
  </si>
  <si>
    <t xml:space="preserve">b) Une compétence essentielle au poste peut manquer, sans que cela ait été anticipé (bonne réponse)</t>
  </si>
  <si>
    <t xml:space="preserve">MNL-0277</t>
  </si>
  <si>
    <t xml:space="preserve">c) Le/la collaborateur(trice) sera forcément plus loyal(e)</t>
  </si>
  <si>
    <t xml:space="preserve">MNL-0278</t>
  </si>
  <si>
    <t xml:space="preserve">Situation 2 — Un nouveau collaborateur arrive un lundi matin. Vous lui indiquez son bureau et lui dites de venir vous voir « s'il a des questions ».</t>
  </si>
  <si>
    <t xml:space="preserve">MNL-0279</t>
  </si>
  <si>
    <t xml:space="preserve">Quel besoin d'intégration risque d'être négligé ?</t>
  </si>
  <si>
    <t xml:space="preserve">MNL-0280</t>
  </si>
  <si>
    <t xml:space="preserve">a) Être en règle administrativement</t>
  </si>
  <si>
    <t xml:space="preserve">MNL-0281</t>
  </si>
  <si>
    <t xml:space="preserve">b) Comprendre précisément son rôle et les codes de l'équipe (bonne réponse)</t>
  </si>
  <si>
    <t xml:space="preserve">MNL-0282</t>
  </si>
  <si>
    <t xml:space="preserve">c) Aucun, cette approche est suffisante</t>
  </si>
  <si>
    <t xml:space="preserve">MNL-0283</t>
  </si>
  <si>
    <t xml:space="preserve">Situation 3 — Vous constatez, après plusieurs recrutements, que toute votre équipe partage les mêmes réflexes et les mêmes angles morts sur les dossiers financiers.</t>
  </si>
  <si>
    <t xml:space="preserve">MNL-0284</t>
  </si>
  <si>
    <t xml:space="preserve">Quel est le bon réflexe pour le prochain recrutement ?</t>
  </si>
  <si>
    <t xml:space="preserve">MNL-0285</t>
  </si>
  <si>
    <t xml:space="preserve">a) Continuer sur le même profil, pour ne pas déstabiliser l'équipe</t>
  </si>
  <si>
    <t xml:space="preserve">MNL-0286</t>
  </si>
  <si>
    <t xml:space="preserve">b) Chercher explicitement un profil complémentaire sur ce point précis (bonne réponse)</t>
  </si>
  <si>
    <t xml:space="preserve">MNL-0287</t>
  </si>
  <si>
    <t xml:space="preserve">c) Confier systématiquement les dossiers financiers à un prestataire extérieur</t>
  </si>
  <si>
    <t xml:space="preserve">MNL-0288</t>
  </si>
  <si>
    <t xml:space="preserve">MNL-0289</t>
  </si>
  <si>
    <t xml:space="preserve">Votre check-list « 30 premiers jours »</t>
  </si>
  <si>
    <t xml:space="preserve">MNL-0290</t>
  </si>
  <si>
    <t xml:space="preserve">Votre mission, si vous l'acceptez. Construisez votre propre check-list d'intégration, en complétant au moins deux éléments concrets dans chacune des quatre catégories ci-dessous.</t>
  </si>
  <si>
    <t xml:space="preserve">MNL-0291</t>
  </si>
  <si>
    <t xml:space="preserve">Cette check-list vous appartient : elle est réutilisable telle quelle pour votre prochain recrutement.</t>
  </si>
  <si>
    <t xml:space="preserve">MNL-0292</t>
  </si>
  <si>
    <t xml:space="preserve">1. Être en règle : ce qui doit être prêt avant ou dès le premier jour (Champs de saisie libre — exemples : accès badge/matériel, contrat et documents administratifs, présentation des règles internes.)</t>
  </si>
  <si>
    <t xml:space="preserve">MNL-0293</t>
  </si>
  <si>
    <t xml:space="preserve">Pas techniquement de votre ressort mais y veiller est essentiel</t>
  </si>
  <si>
    <t xml:space="preserve">MNL-0294</t>
  </si>
  <si>
    <t xml:space="preserve">2. Comprendre son rôle: ce qui doit être clarifié dans les premiers jours</t>
  </si>
  <si>
    <t xml:space="preserve">MNL-0295</t>
  </si>
  <si>
    <t xml:space="preserve">(Champs de saisie libre — exemples : fiche de poste précise, priorités des 30 premiers jours, niveau d'autonomie attendu sur chaque type de dossier.)</t>
  </si>
  <si>
    <t xml:space="preserve">MNL-0296</t>
  </si>
  <si>
    <t xml:space="preserve">3. Saisir les codes de l'équipe : ce qui s'apprend rarement dans un document officiel</t>
  </si>
  <si>
    <t xml:space="preserve">MNL-0297</t>
  </si>
  <si>
    <t xml:space="preserve">(Champs de saisie libre — exemples : habitudes de communication de l'équipe, façon de remonter un problème, rythme des points d'équipe.)</t>
  </si>
  <si>
    <t xml:space="preserve">MNL-0298</t>
  </si>
  <si>
    <t xml:space="preserve">4. Se sentir relié à l'équipe : ce qui crée l'appartenance</t>
  </si>
  <si>
    <t xml:space="preserve">MNL-0299</t>
  </si>
  <si>
    <t xml:space="preserve">(Champs de saisie libre — exemples : présentation aux interlocuteurs clés, premier déjeuner ou moment informel avec l'équipe, référent désigné pour les questions du quotidien.)</t>
  </si>
  <si>
    <t xml:space="preserve">MNL-0300</t>
  </si>
  <si>
    <t xml:space="preserve">MNL-0301</t>
  </si>
  <si>
    <t xml:space="preserve">MNL-0302</t>
  </si>
  <si>
    <t xml:space="preserve">Chaque catégorie contient au moins deux éléments concrets, pas seulement une intention | ☐ | ☐ | ☐</t>
  </si>
  <si>
    <t xml:space="preserve">MNL-0303</t>
  </si>
  <si>
    <t xml:space="preserve">La check-list est réutilisable telle quelle pour un prochain recrutement | ☐ | ☐ | ☐</t>
  </si>
  <si>
    <t xml:space="preserve">MNL-0304</t>
  </si>
  <si>
    <t xml:space="preserve">Les quatre catégories sont couvertes, pas seulement l'administratif | ☐ | ☐ | ☐</t>
  </si>
  <si>
    <t xml:space="preserve">MNL-0305</t>
  </si>
  <si>
    <t xml:space="preserve">MNL-0306</t>
  </si>
  <si>
    <t xml:space="preserve">1. Qu'est-ce qui, avec ce module, vous semble déjà clair dans votre façon de recruter et d'intégrer ? (Champ de réponse libre.)</t>
  </si>
  <si>
    <t xml:space="preserve">MNL-0307</t>
  </si>
  <si>
    <t xml:space="preserve">2. Quel angle mort de votre équipe actuelle allez-vous garder en tête pour un prochain recrutement ? (Champ de réponse libre.)</t>
  </si>
  <si>
    <t xml:space="preserve">MNL-0308</t>
  </si>
  <si>
    <t xml:space="preserve">3. Quel est le premier geste concret que vous allez mettre en place, et pour quand ? (Champ de réponse libre.)</t>
  </si>
  <si>
    <t xml:space="preserve">MNL-0309</t>
  </si>
  <si>
    <t xml:space="preserve">Info interne (Ce triptyque, comme les autres, alimente le plan d'action du Module 7 du parcours.)</t>
  </si>
  <si>
    <t xml:space="preserve">MNL-0310</t>
  </si>
  <si>
    <t xml:space="preserve">7. Quiz de validation (repassable sans limite, jusqu'à réussite, pour débloquer le Module 3)</t>
  </si>
  <si>
    <t xml:space="preserve">MNL-0311</t>
  </si>
  <si>
    <t xml:space="preserve">Un recrutement fondé uniquement sur la confiance personnelle risque surtout de : a) Fragiliser la loyauté de l'équipe b) Reproduire les mêmes angles morts dans l'équipe (bonne réponse) c) Coûter plus cher qu'un autre type de recrutement</t>
  </si>
  <si>
    <t xml:space="preserve">MNL-0312</t>
  </si>
  <si>
    <t xml:space="preserve">La complémentarité dans une équipe consiste à : a) Recruter des profils qui pensent tous de la même façon b) Recruter des profils qui couvrent des compétences différentes (bonne réponse) c) Éviter de recruter des personnes trop expérimentées</t>
  </si>
  <si>
    <t xml:space="preserve">MNL-0313</t>
  </si>
  <si>
    <t xml:space="preserve">Parmi les quatre besoins d'intégration d'un nouveau collaborateur, "se sentir relié à l'équipe" concerne : a) Les documents administratifs b) La fiche de poste c) Le sentiment d'appartenance et les relations avec les collègues (bonne réponse)</t>
  </si>
  <si>
    <t xml:space="preserve">MNL-0314</t>
  </si>
  <si>
    <t xml:space="preserve">Un excellent recrutement, mal intégré ensuite, risque de : a) Réussir malgré tout, la compétence suffit b) Échouer ou prendre beaucoup plus de temps à devenir pleinement autonome (bonne réponse) c) Se transformer automatiquement en recrutement raté</t>
  </si>
  <si>
    <t xml:space="preserve">MNL-0315</t>
  </si>
  <si>
    <t xml:space="preserve">La check-list « 30 premiers jours » de ce module a pour but de : a) Remplacer l'entretien de recrutement b) Structurer l'accueil d'un nouveau collaborateur sur ses quatre premières semaines (bonne réponse) c) Évaluer les performances du collaborateur au bout d'un an</t>
  </si>
  <si>
    <t xml:space="preserve">MNL-0316</t>
  </si>
  <si>
    <t xml:space="preserve">MNL-0317</t>
  </si>
  <si>
    <t xml:space="preserve">Une équipe qui se ressemble trop a souvent les mêmes angles morts. Un bon recrutement se choisit sur trois critères — loyauté, compétence, complémentarité — et se réussit vraiment dans les semaines qui suivent l'arrivée, pas seulement le jour de la signature.</t>
  </si>
  <si>
    <t xml:space="preserve">MNL-0318</t>
  </si>
  <si>
    <t xml:space="preserve">Trois réflexes simples :</t>
  </si>
  <si>
    <t xml:space="preserve">MNL-0319</t>
  </si>
  <si>
    <t xml:space="preserve">Avant de recruter, demandez-vous ce qui manque à votre équipe — pas seulement qui vous inspire confiance.</t>
  </si>
  <si>
    <t xml:space="preserve">MNL-0320</t>
  </si>
  <si>
    <t xml:space="preserve">Préparez l'intégration avant l'arrivée, pas après : administratif, rôle, codes d'équipe, appartenance.</t>
  </si>
  <si>
    <t xml:space="preserve">MNL-0321</t>
  </si>
  <si>
    <t xml:space="preserve">Réutilisez votre check-list à chaque nouveau recrutement — elle s'améliore à chaque usage.</t>
  </si>
  <si>
    <t xml:space="preserve">MNL-0322</t>
  </si>
  <si>
    <t xml:space="preserve">Transition vers le Module 3 — Donner du cap sans tout contrôler : une fois la bonne équipe constituée, reste à savoir comment lui laisser la juste place.</t>
  </si>
  <si>
    <t xml:space="preserve">MNL-0323</t>
  </si>
  <si>
    <t xml:space="preserve">MODULE 3 — DONNER DU CAP SANS TOUT CONTRÔLER</t>
  </si>
  <si>
    <t xml:space="preserve">S4 — Faire grandir l’autonomie et l’engagement</t>
  </si>
  <si>
    <t xml:space="preserve">MNL-0324</t>
  </si>
  <si>
    <t xml:space="preserve">Développer une délégation efficace ; repérer les pièges du micro-management</t>
  </si>
  <si>
    <t xml:space="preserve">MNL-0325</t>
  </si>
  <si>
    <t xml:space="preserve">MNL-0326</t>
  </si>
  <si>
    <t xml:space="preserve">MNL-0327</t>
  </si>
  <si>
    <t xml:space="preserve">Durée totale | 35 minutes maximum</t>
  </si>
  <si>
    <t xml:space="preserve">MNL-0328</t>
  </si>
  <si>
    <t xml:space="preserve">MNL-0329</t>
  </si>
  <si>
    <t xml:space="preserve">Prérequis | Modules 1 et 2 complétés</t>
  </si>
  <si>
    <t xml:space="preserve">MNL-0330</t>
  </si>
  <si>
    <t xml:space="preserve">Indicateur mesurable | Score à l'activité de délégation (niveaux d'autonomie correctement assignés)</t>
  </si>
  <si>
    <t xml:space="preserve">MNL-0331</t>
  </si>
  <si>
    <t xml:space="preserve">MNL-0332</t>
  </si>
  <si>
    <t xml:space="preserve">Objectifs pédagogiques — à l'issue du module, l'apprenant(e) est capable de : Identifier le réflexe de reprise de contrôle avant qu'il ne s'installe ; Ajuster le niveau d'autonomie donné à un collaborateur selon la situation, plutôt que d'appliquer toujours le même ; Renvoyer un problème à la bonne personne, sans pour autant l'abandonner.</t>
  </si>
  <si>
    <t xml:space="preserve">MNL-0333</t>
  </si>
  <si>
    <t xml:space="preserve">MNL-0334</t>
  </si>
  <si>
    <t xml:space="preserve">MNL-0335</t>
  </si>
  <si>
    <t xml:space="preserve">MNL-0336</t>
  </si>
  <si>
    <t xml:space="preserve">MNL-0337</t>
  </si>
  <si>
    <t xml:space="preserve">2 | Pourquoi on reprend la main sans s'en rendre compte | 6 min | Contenu</t>
  </si>
  <si>
    <t xml:space="preserve">MNL-0338</t>
  </si>
  <si>
    <t xml:space="preserve">3 | Donner le bon niveau d'autonomie, pas un mètre de plus | 10 min | Contenu + exercices</t>
  </si>
  <si>
    <t xml:space="preserve">MNL-0339</t>
  </si>
  <si>
    <t xml:space="preserve">4 | Que feriez-vous dans cette situation ? | 6 min | Mini-scénarios + activité à conséquences</t>
  </si>
  <si>
    <t xml:space="preserve">MNL-0340</t>
  </si>
  <si>
    <t xml:space="preserve">MNL-0341</t>
  </si>
  <si>
    <t xml:space="preserve">MNL-0342</t>
  </si>
  <si>
    <t xml:space="preserve">7 | Quiz de validation + essentiels | 2 min | Quiz noté</t>
  </si>
  <si>
    <t xml:space="preserve">MNL-0343</t>
  </si>
  <si>
    <t xml:space="preserve">MNL-0344</t>
  </si>
  <si>
    <t xml:space="preserve">Durée cible : 60-75 secondes. Ton : sobre, crédible, quotidien.</t>
  </si>
  <si>
    <t xml:space="preserve">MNL-0345</t>
  </si>
  <si>
    <t xml:space="preserve">Situation de départ (identique dans les deux versions). Un bureau. Un(e) collaborateur(trice) entre, visiblement embêté(e) par un point de blocage dans un dossier partenarial.</t>
  </si>
  <si>
    <t xml:space="preserve">MNL-0346</t>
  </si>
  <si>
    <t xml:space="preserve">Collaborateur(trice) : « Je ne sais pas trop comment prendre ce point avec le partenaire, il campe sur sa position. Qu'est-ce que je fais ? »</t>
  </si>
  <si>
    <t xml:space="preserve">MNL-0347</t>
  </si>
  <si>
    <t xml:space="preserve">MNL-0348</t>
  </si>
  <si>
    <t xml:space="preserve">Élu(e) : « Laissez, je vais l'appeler moi-même, ce sera réglé plus vite. »</t>
  </si>
  <si>
    <t xml:space="preserve">MNL-0349</t>
  </si>
  <si>
    <t xml:space="preserve">Impact visible : l'élu(e) passe vingt minutes au téléphone à régler un point que son collaborateur aurait pu traiter.</t>
  </si>
  <si>
    <t xml:space="preserve">MNL-0350</t>
  </si>
  <si>
    <t xml:space="preserve">Trois semaines plus tard, une situation similaire se présente — le/la même collaborateur(trice) revient, exactement de la même façon, sans avoir gagné en autonomie sur ce type de sujet.</t>
  </si>
  <si>
    <t xml:space="preserve">MNL-0351</t>
  </si>
  <si>
    <t xml:space="preserve">MNL-0352</t>
  </si>
  <si>
    <t xml:space="preserve">MNL-0353</t>
  </si>
  <si>
    <t xml:space="preserve">Élu(e) : « Qu'est-ce que vous avez déjà envisagé comme options ? »</t>
  </si>
  <si>
    <t xml:space="preserve">MNL-0354</t>
  </si>
  <si>
    <t xml:space="preserve">Collaborateur(trice) expose deux pistes.</t>
  </si>
  <si>
    <t xml:space="preserve">MNL-0355</t>
  </si>
  <si>
    <t xml:space="preserve">Élu(e) : « La deuxième me semble la bonne direction. Allez-y, et revenez vers moi seulement si vous êtes vraiment bloqué(e). »</t>
  </si>
  <si>
    <t xml:space="preserve">MNL-0356</t>
  </si>
  <si>
    <t xml:space="preserve">Impact visible : le/la collaborateur(trice) traite le sujet, avec un cap clair et un filet de sécurité. La fois suivante, un dossier comparable est géré sans même remonter jusqu'à l'élu(e).</t>
  </si>
  <si>
    <t xml:space="preserve">MNL-0357</t>
  </si>
  <si>
    <t xml:space="preserve">Voix off : « Dans les deux versions, le/la collaborateur(trice) apportait le même problème. Ce qui a changé, c'est ce que l'élu(e) en a fait : le reprendre pour soi, ou le renvoyer avec un cap clair.</t>
  </si>
  <si>
    <t xml:space="preserve">MNL-0358</t>
  </si>
  <si>
    <t xml:space="preserve">Ce module vous donne des repères simples pour donner de l'autonomie sans perdre le contrôle de l'essentiel.</t>
  </si>
  <si>
    <t xml:space="preserve">MNL-0359</t>
  </si>
  <si>
    <t xml:space="preserve">MNL-0360</t>
  </si>
  <si>
    <t xml:space="preserve">MNL-0361</t>
  </si>
  <si>
    <t xml:space="preserve">1. Sur quels types de dossiers déléguez-vous déjà facilement, aujourd'hui ? (Champ de réponse libre.)</t>
  </si>
  <si>
    <t xml:space="preserve">MNL-0362</t>
  </si>
  <si>
    <t xml:space="preserve">2. Où sentez-vous que vous reprenez la main plus souvent que nécessaire ? (Champ de réponse libre.)</t>
  </si>
  <si>
    <t xml:space="preserve">MNL-0363</t>
  </si>
  <si>
    <t xml:space="preserve">3. Qu'aimeriez-vous ajuster en sortant de ce module ? (Champ de réponse libre, même de façon encore floue à ce stade.)</t>
  </si>
  <si>
    <t xml:space="preserve">MNL-0364</t>
  </si>
  <si>
    <t xml:space="preserve">(Ces trois réponses sont conservées et réaffichées en fin de module, section 6.)</t>
  </si>
  <si>
    <t xml:space="preserve">MNL-0365</t>
  </si>
  <si>
    <t xml:space="preserve">2. Pourquoi on reprend la main sans s'en rendre compte</t>
  </si>
  <si>
    <t xml:space="preserve">MNL-0366</t>
  </si>
  <si>
    <t xml:space="preserve">C'est un réflexe, souvent guidé par de bonnes intentions plutôt que par un jugement sur les compétences de l'autre</t>
  </si>
  <si>
    <t xml:space="preserve">MNL-0367</t>
  </si>
  <si>
    <t xml:space="preserve">Face à un collaborateur qui rapporte un problème, le réflexe le plus naturel — surtout sous pression, ou par souci de bien faire — est de le régler soi-même. C'est souvent plus rapide dans l'instant. Mais ce réflexe a un coût invisible : c'est vous qui héritez du problème, à la place de celui qui vous l'a apporté</t>
  </si>
  <si>
    <t xml:space="preserve">MNL-0368</t>
  </si>
  <si>
    <t xml:space="preserve">MNL-0369</t>
  </si>
  <si>
    <t xml:space="preserve">Le problème appartient à qui l'a apporté : Un repère qui vient des sciences du management Ce mécanisme est décrit depuis longtemps dans la recherche en management. Il montre qu'un problème apporté par un collaborateur reste, par défaut, la responsabilité de celui qui l'a apporté. Le manager qui dit "laissez, je m'en occupe" change ce point de propriété sans forcément s'en rendre compte — et se retrouve, dossier après dossier, à porter des problèmes qui ne devraient pas être les siens Oncken, W. Jr., &amp; Wass, D. L. (1974). Management Time: Who's Got the Monkey? Harvard Business Review, novembre-décembre 1974. — Management, l'un des articles les plus réédités de la revue.</t>
  </si>
  <si>
    <t xml:space="preserve">MNL-0370</t>
  </si>
  <si>
    <t xml:space="preserve">L'autonomie comme besoin fondamental de la motivation : Un repère qui vient de la recherche en motivation Les travaux de Deci et Ryan (2000) sur la motivation montrent que le sentiment d'autonomie — pouvoir agir avec une réelle marge de manœuvre — est l'un des besoins fondamentaux qui nourrissent l'engagement au travail, au même titre que le sentiment de compétence. Reprendre systématiquement la main, même avec de bonnes intentions, prive le collaborateur de ce levier — et use, à la longue, sa motivation à proposer ou à prendre des initiatives. Deci, E. L., &amp; Ryan, R. M. (2000). Self-determination theory and the facilitation of intrinsic motivation, social development, and well-being. American Psychologist, 55(1), 68-78. — Psychologie de la motivation.</t>
  </si>
  <si>
    <t xml:space="preserve">MNL-0371</t>
  </si>
  <si>
    <t xml:space="preserve">Ce que l'on peut en retenir — Le contrôle rassure dans l'instant, mais coûte cher dans la durée : un collaborateur qui n'a jamais l'occasion de porter un problème n'apprend jamais à le résoudre seul, et un manager qui porte tous les problèmes finit débordé.</t>
  </si>
  <si>
    <t xml:space="preserve">MNL-0372</t>
  </si>
  <si>
    <t xml:space="preserve">"Donner le cap, ce n'est pas tenir le volant à la place de l'autre."</t>
  </si>
  <si>
    <t xml:space="preserve">MNL-0373</t>
  </si>
  <si>
    <t xml:space="preserve">3. Donner le bon niveau d'autonomie, pas un mètre de plus</t>
  </si>
  <si>
    <t xml:space="preserve">MNL-0374</t>
  </si>
  <si>
    <t xml:space="preserve">3.1 Le bon dosage, à chaque fois</t>
  </si>
  <si>
    <t xml:space="preserve">MNL-0375</t>
  </si>
  <si>
    <t xml:space="preserve">Objectif — Ajuster la marge de manœuvre donnée à un collaborateur selon la situation, plutôt que d'appliquer toujours le même niveau de contrôle.</t>
  </si>
  <si>
    <t xml:space="preserve">MNL-0376</t>
  </si>
  <si>
    <t xml:space="preserve">Concept — Il n'existe pas un seul "bon" niveau de délégation. Il en existe plusieurs, et le bon choix dépend de deux choses : l'enjeu du sujet, et l'expérience du collaborateur sur ce type de sujet précis.</t>
  </si>
  <si>
    <t xml:space="preserve">MNL-0377</t>
  </si>
  <si>
    <t xml:space="preserve">Principe — Quatre niveaux de marge de manœuvre couvrent la plupart des situations :</t>
  </si>
  <si>
    <t xml:space="preserve">MNL-0378</t>
  </si>
  <si>
    <t xml:space="preserve">Niveau | Ce que vous dites | Quand l'utiliser</t>
  </si>
  <si>
    <t xml:space="preserve">MNL-0379</t>
  </si>
  <si>
    <t xml:space="preserve">1 — Cadré | « Voici précisément ce qu'il faut faire, et comment. » | Sujet à fort enjeu, collaborateur peu expérimenté sur ce point</t>
  </si>
  <si>
    <t xml:space="preserve">MNL-0380</t>
  </si>
  <si>
    <t xml:space="preserve">2 — Proposé | « Vous me proposez une option, je valide avant que ça parte. » | Collaborateur qui monte en compétence, sujet encore sensible</t>
  </si>
  <si>
    <t xml:space="preserve">MNL-0381</t>
  </si>
  <si>
    <t xml:space="preserve">3 — Informé | « Vous agissez, vous m'informez après coup. » | Collaborateur expérimenté, sujet à enjeu modéré</t>
  </si>
  <si>
    <t xml:space="preserve">MNL-0382</t>
  </si>
  <si>
    <t xml:space="preserve">4 — Autonome | « C'est entièrement le vôtre — je ne veux même pas le savoir, sauf incident. » | Collaborateur pleinement autonome sur ce type de sujet</t>
  </si>
  <si>
    <t xml:space="preserve">MNL-0383</t>
  </si>
  <si>
    <t xml:space="preserve">Mise en pratique — Avant de confier un dossier, se poser deux questions :</t>
  </si>
  <si>
    <t xml:space="preserve">MNL-0384</t>
  </si>
  <si>
    <t xml:space="preserve">Quel est l'enjeu si ça se passe mal ?</t>
  </si>
  <si>
    <t xml:space="preserve">MNL-0385</t>
  </si>
  <si>
    <t xml:space="preserve">Quelle est l'expérience de mon collaborateur sur ce type précis de sujet ?</t>
  </si>
  <si>
    <t xml:space="preserve">MNL-0386</t>
  </si>
  <si>
    <t xml:space="preserve">Le croisement des deux donne le bon niveau — pas un mètre de plus, pas un mètre de moins.</t>
  </si>
  <si>
    <t xml:space="preserve">MNL-0387</t>
  </si>
  <si>
    <t xml:space="preserve">MNL-0388</t>
  </si>
  <si>
    <t xml:space="preserve">Vous confiez un premier dossier de presse à un(e) nouveau/nouvelle collaborateur(trice), sur un sujet sensible pour votre groupe politique. Quel niveau choisir ? a) Niveau 4 — Autonome, pour marquer votre confiance d'entrée b) Niveau 1 ou 2 — Cadré ou Proposé, le temps de calibrer la confiance sur ce type de sujet (bonne réponse) c) Niveau 3 — Informé, comme pour tous vos autres collaborateurs</t>
  </si>
  <si>
    <t xml:space="preserve">MNL-0389</t>
  </si>
  <si>
    <t xml:space="preserve">3.2 Le problème appartient à qui l'a apporté</t>
  </si>
  <si>
    <t xml:space="preserve">MNL-0390</t>
  </si>
  <si>
    <t xml:space="preserve">Objectif — Éviter de reprendre, par réflexe, un problème qui ne vous revient pas.</t>
  </si>
  <si>
    <t xml:space="preserve">MNL-0391</t>
  </si>
  <si>
    <t xml:space="preserve">Concept — Quand un collaborateur vous apporte un problème sans solution, il vous transfère, sans le vouloir, la responsabilité de le résoudre — sauf si vous le renvoyez explicitement.</t>
  </si>
  <si>
    <t xml:space="preserve">MNL-0392</t>
  </si>
  <si>
    <t xml:space="preserve">Principe — Une question suffit, la plupart du temps, à garder le problème du bon côté : "Qu'est-ce que vous avez déjà envisagé ?" ou "Qu'est-ce que vous proposez ?" — plutôt que de proposer vous-même la solution.</t>
  </si>
  <si>
    <t xml:space="preserve">MNL-0393</t>
  </si>
  <si>
    <t xml:space="preserve">Mise en pratique — Renvoyer le problème, c'est accompagner le collaborateur autrement : donner un avis sur son option, fixer un point de suivi, rester joignable en cas de vrai blocage — tout en lui laissant la main sur le fond.</t>
  </si>
  <si>
    <t xml:space="preserve">MNL-0394</t>
  </si>
  <si>
    <t xml:space="preserve">Essentiel à retenir — Une question bien posée coûte trente secondes. Reprendre le problème à votre compte peut vous en coûter des heures — et empêche l'autre de progresser.</t>
  </si>
  <si>
    <t xml:space="preserve">MNL-0395</t>
  </si>
  <si>
    <t xml:space="preserve">MNL-0396</t>
  </si>
  <si>
    <t xml:space="preserve">MNL-0397</t>
  </si>
  <si>
    <t xml:space="preserve">Situation 1 — Un collaborateur expérimenté vous informe d'un ajustement mineur qu'il a pris seul dans un dossier que vous lui aviez confié en niveau "Informé".</t>
  </si>
  <si>
    <t xml:space="preserve">MNL-0398</t>
  </si>
  <si>
    <t xml:space="preserve">MNL-0399</t>
  </si>
  <si>
    <t xml:space="preserve">a) Le recadrer, il aurait dû demander votre accord avant</t>
  </si>
  <si>
    <t xml:space="preserve">MNL-0400</t>
  </si>
  <si>
    <t xml:space="preserve">b) Le remercier de vous tenir informé(e), c'est exactement ce niveau qui avait été convenu (bonne réponse)</t>
  </si>
  <si>
    <t xml:space="preserve">MNL-0401</t>
  </si>
  <si>
    <t xml:space="preserve">c) Reprendre le dossier, pour être sûr(e) que rien d'autre n'a été décidé sans vous</t>
  </si>
  <si>
    <t xml:space="preserve">MNL-0402</t>
  </si>
  <si>
    <t xml:space="preserve">Situation 2 — Un collaborateur revient une troisième fois cette semaine avec le même type de blocage sur un sujet qu'il gère pourtant depuis plusieurs mois.</t>
  </si>
  <si>
    <t xml:space="preserve">MNL-0403</t>
  </si>
  <si>
    <t xml:space="preserve">MNL-0404</t>
  </si>
  <si>
    <t xml:space="preserve">a) Régler le point à sa place, encore une fois, pour avancer plus vite</t>
  </si>
  <si>
    <t xml:space="preserve">MNL-0405</t>
  </si>
  <si>
    <t xml:space="preserve">b) Lui demander ce qui, selon lui, explique que ce blocage revienne, avant de proposer une solution ensemble (bonne réponse)</t>
  </si>
  <si>
    <t xml:space="preserve">MNL-0406</t>
  </si>
  <si>
    <t xml:space="preserve">c) Ne plus rien lui confier de ce type à l'avenir</t>
  </si>
  <si>
    <t xml:space="preserve">MNL-0407</t>
  </si>
  <si>
    <t xml:space="preserve">Activité à choix multiples avec conséquences</t>
  </si>
  <si>
    <t xml:space="preserve">MNL-0408</t>
  </si>
  <si>
    <t xml:space="preserve">Vous confiez la préparation d'un dossier sensible à un(e) collaborateur(trice) expérimenté(e) sur le fond, mais nouveau/nouvelle dans votre équipe.</t>
  </si>
  <si>
    <t xml:space="preserve">MNL-0409</t>
  </si>
  <si>
    <t xml:space="preserve">Choix A — Vous lui donnez le dossier sans autre précision, en lui disant de vous solliciter s'il/elle a besoin de quoi que ce soit.</t>
  </si>
  <si>
    <t xml:space="preserve">MNL-0410</t>
  </si>
  <si>
    <t xml:space="preserve">→ Conséquence : faute de repères sur vos attentes précises et le niveau de validation souhaité, il/elle avance dans une direction que vous n'auriez pas choisie — vous devez tout reprendre la veille de l'échéance.</t>
  </si>
  <si>
    <t xml:space="preserve">MNL-0411</t>
  </si>
  <si>
    <t xml:space="preserve">Choix B — Vous validez chaque paragraphe avant qu'il/elle passe à la suite.</t>
  </si>
  <si>
    <t xml:space="preserve">MNL-0412</t>
  </si>
  <si>
    <t xml:space="preserve">→ Conséquence : le dossier avance lentement, le/la collaborateur(trice) perd patience et confiance, vous passez plus de temps à valider qu'à faire autre chose.</t>
  </si>
  <si>
    <t xml:space="preserve">MNL-0413</t>
  </si>
  <si>
    <t xml:space="preserve">Choix C — Vous donnez le cap (objectif, échéance, points de vigilance), et fixez un point d'étape à mi-parcours.</t>
  </si>
  <si>
    <t xml:space="preserve">MNL-0414</t>
  </si>
  <si>
    <t xml:space="preserve">→ Conséquence : le/la collaborateur(trice) avance avec autonomie, sait quand vous solliciter ; le point d'étape permet d'ajuster avant qu'il ne soit trop tard. (bonne réponse)</t>
  </si>
  <si>
    <t xml:space="preserve">MNL-0415</t>
  </si>
  <si>
    <t xml:space="preserve">Ce que montrent les trois choix : le piège n'est pas seulement de trop contrôler — c'est aussi de déléguer sans cap. Les deux extrêmes coûtent cher ; le bon dosage est entre les deux.</t>
  </si>
  <si>
    <t xml:space="preserve">MNL-0416</t>
  </si>
  <si>
    <t xml:space="preserve">MNL-0417</t>
  </si>
  <si>
    <t xml:space="preserve">Situation. Vous devez confier à votre collaborateur(trice) la préparation complète d'un dossier avant une commission dans dix jours — un exercice qu'il/elle a déjà mené une fois, avec un résultat correct mais perfectible.</t>
  </si>
  <si>
    <t xml:space="preserve">MNL-0418</t>
  </si>
  <si>
    <t xml:space="preserve">Votre mission, si vous l'acceptez. Rédigez le message par lequel vous confiez ce dossier : précisez le niveau d'autonomie choisi, le cap à tenir, et le point de suivi prévu.</t>
  </si>
  <si>
    <t xml:space="preserve">MNL-0419</t>
  </si>
  <si>
    <t xml:space="preserve">MNL-0420</t>
  </si>
  <si>
    <t xml:space="preserve">MNL-0421</t>
  </si>
  <si>
    <t xml:space="preserve">MNL-0422</t>
  </si>
  <si>
    <t xml:space="preserve">J'ai donné un cap clair (objectif, échéance) | ☐ | ☐ | ☐</t>
  </si>
  <si>
    <t xml:space="preserve">MNL-0423</t>
  </si>
  <si>
    <t xml:space="preserve">J'ai précisé le niveau d'autonomie, sans micro-cadrer chaque étape | ☐ | ☐ | ☐</t>
  </si>
  <si>
    <t xml:space="preserve">MNL-0424</t>
  </si>
  <si>
    <t xml:space="preserve">J'ai fixé un point de suivi, sans reprendre la main sur le fond | ☐ | ☐ | ☐</t>
  </si>
  <si>
    <t xml:space="preserve">MNL-0425</t>
  </si>
  <si>
    <t xml:space="preserve">MNL-0426</t>
  </si>
  <si>
    <t xml:space="preserve">1. Qu'est-ce qui, avec ce module, vous semble déjà clair dans votre façon de déléguer ? (Champ de réponse libre.)</t>
  </si>
  <si>
    <t xml:space="preserve">MNL-0427</t>
  </si>
  <si>
    <t xml:space="preserve">2. Sur quel dossier ou quel collaborateur identifiez-vous encore un réflexe de reprise de contrôle ? (Champ de réponse libre.)</t>
  </si>
  <si>
    <t xml:space="preserve">MNL-0428</t>
  </si>
  <si>
    <t xml:space="preserve">3. Quel est le premier geste concret que vous mettez en place, et pour quand ? (Champ de réponse libre.)</t>
  </si>
  <si>
    <t xml:space="preserve">MNL-0429</t>
  </si>
  <si>
    <t xml:space="preserve">MNL-0430</t>
  </si>
  <si>
    <t xml:space="preserve">7. Quiz de validation (repassable sans limite, jusqu'à réussite, pour débloquer le Module 4)</t>
  </si>
  <si>
    <t xml:space="preserve">MNL-0431</t>
  </si>
  <si>
    <t xml:space="preserve">Le bon niveau d'autonomie à donner à un collaborateur dépend : a) Toujours du même niveau, pour rester cohérent b) De l'enjeu du sujet et de l'expérience du collaborateur sur ce sujet précis (bonne réponse) c) De l'ancienneté générale du collaborateur dans la collectivité</t>
  </si>
  <si>
    <t xml:space="preserve">MNL-0432</t>
  </si>
  <si>
    <t xml:space="preserve">Quand un collaborateur apporte un problème sans solution, le réflexe le plus utile est de : a) Proposer immédiatement la solution, pour gagner du temps b) Lui demander ce qu'il a déjà envisagé (bonne réponse) c) Lui dire de se débrouiller seul</t>
  </si>
  <si>
    <t xml:space="preserve">MNL-0433</t>
  </si>
  <si>
    <t xml:space="preserve">Reprendre systématiquement la main sur les dossiers d'un collaborateur a pour effet, à terme, de : a) Renforcer sa confiance b) Réduire son autonomie et son engagement (bonne réponse) c) Améliorer la qualité de son travail</t>
  </si>
  <si>
    <t xml:space="preserve">MNL-0434</t>
  </si>
  <si>
    <t xml:space="preserve">Dans l'activité à conséquences de ce module, le "Choix A" (aucune précision donnée) a montré que : a) Trop de liberté sans cap est aussi un piège que trop de contrôle (bonne réponse) b) C'est toujours la meilleure option pour un collaborateur expérimenté c) Cela n'a aucune conséquence si le collaborateur est compétent</t>
  </si>
  <si>
    <t xml:space="preserve">MNL-0435</t>
  </si>
  <si>
    <t xml:space="preserve">Un collaborateur qui vous informe après coup d'une décision prise dans le cadre convenu doit être : a) Recadré, il aurait dû demander votre accord b) Remercié, c'est exactement le niveau d'autonomie convenu (bonne réponse) c) Privé de ce type de dossier à l'avenir</t>
  </si>
  <si>
    <t xml:space="preserve">MNL-0436</t>
  </si>
  <si>
    <t xml:space="preserve">MNL-0437</t>
  </si>
  <si>
    <t xml:space="preserve">Un problème apporté par un collaborateur ne devient pas automatiquement le vôtre — sauf si vous le reprenez sans le décider.</t>
  </si>
  <si>
    <t xml:space="preserve">MNL-0438</t>
  </si>
  <si>
    <t xml:space="preserve">MNL-0439</t>
  </si>
  <si>
    <t xml:space="preserve">Avant de reprendre un problème, posez une question plutôt que de proposer directement la solution.</t>
  </si>
  <si>
    <t xml:space="preserve">MNL-0440</t>
  </si>
  <si>
    <t xml:space="preserve">Choisissez le niveau d'autonomie qui correspond à l'enjeu et à l'expérience — jamais un seul niveau pour tout le monde, tout le temps.</t>
  </si>
  <si>
    <t xml:space="preserve">MNL-0441</t>
  </si>
  <si>
    <t xml:space="preserve">Déléguer, c'est accompagner à distance : un cap clair et un point de suivi valent mieux qu'un contrôle permanent ou qu'un silence total</t>
  </si>
  <si>
    <t xml:space="preserve">MNL-0442</t>
  </si>
  <si>
    <t xml:space="preserve">Transition vers le Module 4 — Communiquer comme manager : une fois le bon niveau d'autonomie choisi, reste à savoir comment le formuler pour qu'il soit vraiment entendu.</t>
  </si>
  <si>
    <t xml:space="preserve">MNL-0443</t>
  </si>
  <si>
    <t xml:space="preserve">MODULE 4 COMMUNIQUER COMME MANAGER</t>
  </si>
  <si>
    <t xml:space="preserve">S3 — Faire comprendre ce que j’attends</t>
  </si>
  <si>
    <t xml:space="preserve">MNL-0444</t>
  </si>
  <si>
    <t xml:space="preserve">Mesurer l'impact de ses mots : consignes, feedback, reconnaissance, recadrage</t>
  </si>
  <si>
    <t xml:space="preserve">MNL-0445</t>
  </si>
  <si>
    <t xml:space="preserve">MNL-0446</t>
  </si>
  <si>
    <t xml:space="preserve">MNL-0447</t>
  </si>
  <si>
    <t xml:space="preserve">Durée totale | 45 minutes maximum</t>
  </si>
  <si>
    <t xml:space="preserve">MNL-0448</t>
  </si>
  <si>
    <t xml:space="preserve">Niveau atteint | Application</t>
  </si>
  <si>
    <t xml:space="preserve">MNL-0449</t>
  </si>
  <si>
    <t xml:space="preserve">Prérequis | Modules 0 à 3 complétés</t>
  </si>
  <si>
    <t xml:space="preserve">MNL-0450</t>
  </si>
  <si>
    <t xml:space="preserve">Indicateur mesurable | Grille de comparaison message initial / message reformulé</t>
  </si>
  <si>
    <t xml:space="preserve">MNL-0451</t>
  </si>
  <si>
    <t xml:space="preserve">MNL-0452</t>
  </si>
  <si>
    <t xml:space="preserve">Objectifs pédagogiques — à l'issue du module, l'apprenant(e) est capable de : Identifier l'écart entre son intention de communication et son impact réel sur le collaborateur ; Reformuler une consigne, un feedback ou un recadrage pour qu'il produise l'effet recherché ; Distinguer une communication qui construit la relation d'une communication qui l'abîme, même sous pression.</t>
  </si>
  <si>
    <t xml:space="preserve">MNL-0453</t>
  </si>
  <si>
    <t xml:space="preserve">Séquençage (45 min)</t>
  </si>
  <si>
    <t xml:space="preserve">MNL-0454</t>
  </si>
  <si>
    <t xml:space="preserve">MNL-0455</t>
  </si>
  <si>
    <t xml:space="preserve">MNL-0456</t>
  </si>
  <si>
    <t xml:space="preserve">1 | Objectifs &amp; mise en contexte | 2 min | Lecture</t>
  </si>
  <si>
    <t xml:space="preserve">MNL-0457</t>
  </si>
  <si>
    <t xml:space="preserve">2 | Diagnostic d'entrée (réponses libres) | 4 min | Auto-évaluation</t>
  </si>
  <si>
    <t xml:space="preserve">MNL-0458</t>
  </si>
  <si>
    <t xml:space="preserve">3 | Apport — L'impact des mots | 7 min | Contenu + micro-quiz</t>
  </si>
  <si>
    <t xml:space="preserve">MNL-0459</t>
  </si>
  <si>
    <t xml:space="preserve">4 | Dire ce qui ne va pas sans couper le lien | 11 min | Contenu + exercices</t>
  </si>
  <si>
    <t xml:space="preserve">MNL-0460</t>
  </si>
  <si>
    <t xml:space="preserve">5 | Se faire vraiment entendre | 8 min | Contenu + exercice court</t>
  </si>
  <si>
    <t xml:space="preserve">MNL-0461</t>
  </si>
  <si>
    <t xml:space="preserve">6 | Cas concret contextualisé + grille d'auto-évaluation | 5 min | Mise en situation</t>
  </si>
  <si>
    <t xml:space="preserve">MNL-0462</t>
  </si>
  <si>
    <t xml:space="preserve">7 | Auto-diagnostic 3 étapes + engagement | 4 min | Réflexion personnelle</t>
  </si>
  <si>
    <t xml:space="preserve">MNL-0463</t>
  </si>
  <si>
    <t xml:space="preserve">8 | Quiz de validation + essentiels | 2 min | Quiz noté</t>
  </si>
  <si>
    <t xml:space="preserve">MNL-0464</t>
  </si>
  <si>
    <t xml:space="preserve">0. Scénario d'ouverture de module — script pour vidéo IA (dialogue avant / après)</t>
  </si>
  <si>
    <t xml:space="preserve">MNL-0465</t>
  </si>
  <si>
    <t xml:space="preserve">Durée cible : 60-75 secondes. Ton : sobre, crédible, quotidien. Structure : même situation de départ, jouée deux fois — d'abord avec un mauvais choix de mots et son impact visible, puis avec un bon choix de mots et son impact visible.</t>
  </si>
  <si>
    <t xml:space="preserve">MNL-0466</t>
  </si>
  <si>
    <t xml:space="preserve">Situation de départ (identique dans les deux versions). Un bureau. Une collaboratrice entre avec un dossier, s'assoit face à l'élu(e) qui prépare une réunion de bureau pour le lendemain.</t>
  </si>
  <si>
    <t xml:space="preserve">MNL-0467</t>
  </si>
  <si>
    <t xml:space="preserve">Collaboratrice : « Je voulais vous prévenir : la pièce technique du dossier Partenariat prendra du retard, le prestataire n'a pas livré à temps. »</t>
  </si>
  <si>
    <t xml:space="preserve">MNL-0468</t>
  </si>
  <si>
    <t xml:space="preserve">Version A — Mauvais choix de mots</t>
  </si>
  <si>
    <t xml:space="preserve">MNL-0469</t>
  </si>
  <si>
    <t xml:space="preserve">L'élu(e), sans lever les yeux de ses notes, répond d'un ton sec :</t>
  </si>
  <si>
    <t xml:space="preserve">MNL-0470</t>
  </si>
  <si>
    <t xml:space="preserve">Élu(e) : « Ça commence à faire beaucoup de retards sur ce dossier. Il va falloir que vous soyez plus vigilante. »</t>
  </si>
  <si>
    <t xml:space="preserve">MNL-0471</t>
  </si>
  <si>
    <t xml:space="preserve">Impact visible : la collaboratrice se referme, hausse légèrement les épaules, répond juste « D'accord » — et quitte la pièce sans donner la précision qu'elle avait pourtant préparée sur une solution de repli déjà envisagée avec le prestataire.</t>
  </si>
  <si>
    <t xml:space="preserve">MNL-0472</t>
  </si>
  <si>
    <t xml:space="preserve">MNL-0473</t>
  </si>
  <si>
    <t xml:space="preserve">Version B — Bon choix de mots</t>
  </si>
  <si>
    <t xml:space="preserve">MNL-0474</t>
  </si>
  <si>
    <t xml:space="preserve">L'élu(e) pose son stylo, relève les yeux vers la collaboratrice.</t>
  </si>
  <si>
    <t xml:space="preserve">MNL-0475</t>
  </si>
  <si>
    <t xml:space="preserve">Élu(e) : « Merci de me le dire maintenant plutôt qu'au dernier moment. Qu'est-ce qui a coincé chez le prestataire ? »</t>
  </si>
  <si>
    <t xml:space="preserve">MNL-0476</t>
  </si>
  <si>
    <t xml:space="preserve">Collaboratrice : « Un souci de délai de production de leur côté. J'ai déjà regardé s'il existait une solution de repli. »</t>
  </si>
  <si>
    <t xml:space="preserve">MNL-0477</t>
  </si>
  <si>
    <t xml:space="preserve">Élu(e) : « D'accord. Qu'est-ce que vous proposez, et de quoi avez-vous besoin de ma part pour avancer ? »</t>
  </si>
  <si>
    <t xml:space="preserve">MNL-0478</t>
  </si>
  <si>
    <t xml:space="preserve">Impact visible : la collaboratrice se redresse légèrement, expose sa piste de solution avec assurance. La scène se termine sur un plan d'action partagé, avant la réunion du lendemain.</t>
  </si>
  <si>
    <t xml:space="preserve">MNL-0479</t>
  </si>
  <si>
    <t xml:space="preserve">Voix off (sur un écran partagé montrant les deux fins côte à côte) : « L'information de départ était exactement la même dans les deux versions. Ce qui a changé, c'est ce que les mots ont provoqué : la fermeture d'un côté, l'ouverture d'une solution de l'autre.</t>
  </si>
  <si>
    <t xml:space="preserve">MNL-0480</t>
  </si>
  <si>
    <t xml:space="preserve">Ce module vous donne des repères simples pour choisir, à chaque fois, la seconde version.</t>
  </si>
  <si>
    <t xml:space="preserve">MNL-0481</t>
  </si>
  <si>
    <t xml:space="preserve">“ Le sens de la communication est dans la réponse qu’on obtient”</t>
  </si>
  <si>
    <t xml:space="preserve">MNL-0482</t>
  </si>
  <si>
    <t xml:space="preserve">Richard Bandler et John Grinder</t>
  </si>
  <si>
    <t xml:space="preserve">MNL-0483</t>
  </si>
  <si>
    <t xml:space="preserve">L'émetteur a la responsabilité de l’intention et de la clarté du message, tout comme du choix des mots prononcés -</t>
  </si>
  <si>
    <t xml:space="preserve">MNL-0484</t>
  </si>
  <si>
    <t xml:space="preserve">Le récepteur a la responsabilité de questionner pour mieux comprendre afin d'orienter son action dans la direction adéquate.</t>
  </si>
  <si>
    <t xml:space="preserve">MNL-0485</t>
  </si>
  <si>
    <t xml:space="preserve">Mise en contexte Un mot mal calibré peut démobiliser en une phrase ce que des mois de travail ont construit. À l'inverse, une formulation juste — même exigeante — renforce l'engagement. Ce module ne porte pas sur "quoi dire" mais sur comment le dire pour que cela produise l'effet recherché, dans trois situations que vous rencontrez chaque semaine : donner une consigne, faire un retour, recadrer un écart.</t>
  </si>
  <si>
    <t xml:space="preserve">MNL-0486</t>
  </si>
  <si>
    <t xml:space="preserve">MNL-0487</t>
  </si>
  <si>
    <t xml:space="preserve">Prêts pour un temps court d'auto-positionnement ? — les mêmes 3 questions seront reposées en fin de module, pour comparer votre pensée "avant" et votre pensée "après".</t>
  </si>
  <si>
    <t xml:space="preserve">MNL-0488</t>
  </si>
  <si>
    <t xml:space="preserve">1. Dans vos échanges avec votre équipe, de quoi êtes-vous le plus fier(e) aujourd'hui ? (Champ de réponse libre — une réussite récente, une qualité relationnelle que vous mobilisez bien, un effet positif que vous avez observé.)</t>
  </si>
  <si>
    <t xml:space="preserve">MNL-0489</t>
  </si>
  <si>
    <t xml:space="preserve">2. Où sentez-vous que ça coince, parfois ? (Champ de réponse libre — un type d'échange qui vous met mal à l'aise, un moment où votre message n'a pas produit l'effet attendu.)</t>
  </si>
  <si>
    <t xml:space="preserve">MNL-0490</t>
  </si>
  <si>
    <t xml:space="preserve">3. Qu'aimeriez-vous pouvoir faire différemment ? (Champ de réponse libre — même de façon encore floue à ce stade.)</t>
  </si>
  <si>
    <t xml:space="preserve">MNL-0491</t>
  </si>
  <si>
    <t xml:space="preserve">(Ces trois réponses sont conservées et réaffichées en fin de module, section 7, pour permettre une vraie comparaison écrite avant/après — plus riche qu'un simple score.)</t>
  </si>
  <si>
    <t xml:space="preserve">MNL-0492</t>
  </si>
  <si>
    <t xml:space="preserve">2. Vos mots ont un pouvoir : lequel, exactement ?</t>
  </si>
  <si>
    <t xml:space="preserve">MNL-0493</t>
  </si>
  <si>
    <t xml:space="preserve">Ce petit mot qui fait basculer une réunion ou la qualité d’une relation… Nous l’avons tous expérimenté.</t>
  </si>
  <si>
    <t xml:space="preserve">MNL-0494</t>
  </si>
  <si>
    <t xml:space="preserve">3.1 Pourquoi s'arrêter sur ses mots : ce que montre la recherche</t>
  </si>
  <si>
    <t xml:space="preserve">MNL-0495</t>
  </si>
  <si>
    <t xml:space="preserve">Ce que la vidéo d’introduction du module illustre n'est pas une intuition isolée : la recherche en sciences de l'apprentissage et en psychologie converge sur ce point depuis plusieurs décennies.</t>
  </si>
  <si>
    <t xml:space="preserve">MNL-0496</t>
  </si>
  <si>
    <t xml:space="preserve">MNL-0497</t>
  </si>
  <si>
    <t xml:space="preserve">Un repère qui vient du cerveau lui-même Il y a une raison simple à ce qu'un mot dur reste en tête si longtemps : notre cerveau retient les critiques bien plus fort que les compliments — Le cerveau traite le négatif et le positif de façon asymétrique — C'est prouvé, et ça vaut pour tout le monde, pas seulement pour les plus sensibles. Une remarque négative "pèse" plus lourd, spontanément, qu'une remarque positive de même taille. D'où l'intérêt de toujours donner un vrai point d'appui positif avant de corriger : pas par politesse, mais parce que ça équilibre la balance. Baumeister, R. F., Bratslavsky, E., Finkenauer, C., &amp; Vohs, K. D. (2001). Bad is stronger than good. Review of General Psychology — l'étude de référence sur le biais de négativité</t>
  </si>
  <si>
    <t xml:space="preserve">MNL-0498</t>
  </si>
  <si>
    <t xml:space="preserve">Féliciter la personne ou féliciter ce qu'elle a fait, ce n'est pas pareil Dire "vous êtes doué(e)" et dire "vous avez tenu ce délai grâce à votre organisation" n'ont pas le même effet. Le premier complimente ce que la personne est — et, curieusement, ça la rend plus fragile face à un prochain échec. Le second reconnaît ce qu'elle a fait — et ça la rend plus tenace pour continuer à progresser, même quand ça devient difficile. Mueller, C. M., &amp; Dweck, C. S. (1998). Praise for Intelligence Can Undermine Children's Motivation and Performance. Journal of Personality and Social Psychology, 75(1), 33-52. — psychologie du développement / motivation (étude princeps, plusieurs fois répliquée depuis, notamment en contexte adulte et professionnel)</t>
  </si>
  <si>
    <t xml:space="preserve">MNL-0499</t>
  </si>
  <si>
    <t xml:space="preserve">Ce que l'on peut en retenir</t>
  </si>
  <si>
    <t xml:space="preserve">MNL-0500</t>
  </si>
  <si>
    <t xml:space="preserve">Être conscient(e) de la puissance des mots — et de leur capacité à influencer, souvent à notre insu, les attitudes et les comportements — permet, dans la communication professionnelle comme personnelle, de choisir des mots soutenants et encourageants. Ce choix contribue directement à créer un environnement plus constructif et plus motivant.</t>
  </si>
  <si>
    <t xml:space="preserve">MNL-0501</t>
  </si>
  <si>
    <t xml:space="preserve">Deux principes en découlent :</t>
  </si>
  <si>
    <t xml:space="preserve">MNL-0502</t>
  </si>
  <si>
    <t xml:space="preserve">Orienter la communication vers des solutions, plutôt que vers le constat du problème ;</t>
  </si>
  <si>
    <t xml:space="preserve">MNL-0503</t>
  </si>
  <si>
    <t xml:space="preserve">Mettre de la conscience dans ce que l'on dit, dans la manière dont on le dit, et dans le choix des mots eux-mêmes.</t>
  </si>
  <si>
    <t xml:space="preserve">MNL-0504</t>
  </si>
  <si>
    <t xml:space="preserve">C'est tout l'enjeu de ce module : Parler de manière à produire l'effet que l'on recherche réellement. Choisir nos mots en fonction de notre intention</t>
  </si>
  <si>
    <t xml:space="preserve">MNL-0505</t>
  </si>
  <si>
    <t xml:space="preserve">“Changer les mots c’est changer le monde”</t>
  </si>
  <si>
    <t xml:space="preserve">MNL-0506</t>
  </si>
  <si>
    <t xml:space="preserve">3.2 Mesurer et ajuster l'impact des mots</t>
  </si>
  <si>
    <t xml:space="preserve">MNL-0507</t>
  </si>
  <si>
    <t xml:space="preserve">Certains mots déclenchent ou apaisent : choisir des mots soutenants et responsabilisants favorise la relation.</t>
  </si>
  <si>
    <t xml:space="preserve">MNL-0508</t>
  </si>
  <si>
    <t xml:space="preserve">Concept — Les mots ont un pouvoir émotionnel fort. Ils peuvent apaiser ou aggraver une situation.</t>
  </si>
  <si>
    <t xml:space="preserve">MNL-0509</t>
  </si>
  <si>
    <t xml:space="preserve">Principe — Certaines formulations sont perçues comme agressives, accusatrices ou démobilisantes. D'autres favorisent l'ouverture et la responsabilisation.</t>
  </si>
  <si>
    <t xml:space="preserve">MNL-0510</t>
  </si>
  <si>
    <t xml:space="preserve">Mise en pratique</t>
  </si>
  <si>
    <t xml:space="preserve">MNL-0511</t>
  </si>
  <si>
    <t xml:space="preserve">Analyser l'impact de mots ou phrases courants dans le travail.</t>
  </si>
  <si>
    <t xml:space="preserve">MNL-0512</t>
  </si>
  <si>
    <t xml:space="preserve">Identifier les mots qui piquent versus ceux qui soutiennent.</t>
  </si>
  <si>
    <t xml:space="preserve">MNL-0513</t>
  </si>
  <si>
    <t xml:space="preserve">Reformuler en recherchant l'effet souhaité sur l'interlocuteur.</t>
  </si>
  <si>
    <t xml:space="preserve">MNL-0514</t>
  </si>
  <si>
    <t xml:space="preserve">Objectif — Prendre conscience de la portée émotionnelle des mots dans la communication quotidienne et professionnelle afin de modifier ses expressions et mieux choisir ses mots.</t>
  </si>
  <si>
    <t xml:space="preserve">MNL-0515</t>
  </si>
  <si>
    <t xml:space="preserve">3.3 Contourner nos automatismes de langage</t>
  </si>
  <si>
    <t xml:space="preserve">MNL-0516</t>
  </si>
  <si>
    <t xml:space="preserve">Concept — Contourner nos automatismes de langage.</t>
  </si>
  <si>
    <t xml:space="preserve">MNL-0517</t>
  </si>
  <si>
    <t xml:space="preserve">Principe — Reprendre son pouvoir sur les mots que l'on emploie.</t>
  </si>
  <si>
    <t xml:space="preserve">MNL-0518</t>
  </si>
  <si>
    <t xml:space="preserve">Mise en pratique — S'écouter parler et transformer son langage.</t>
  </si>
  <si>
    <t xml:space="preserve">MNL-0519</t>
  </si>
  <si>
    <t xml:space="preserve">On ne choisit pas toujours ses mots — la plupart sortent par automatisme, hérités d'habitudes ou de tensions du moment. Le premier pas n'est donc pas de « bien parler », mais de s'observer parler : repérer les formulations qui reviennent sous pression, et se donner la possibilité de les remplacer avant qu'elles ne produisent leur effet habituel.</t>
  </si>
  <si>
    <t xml:space="preserve">MNL-0520</t>
  </si>
  <si>
    <t xml:space="preserve">MNL-0521</t>
  </si>
  <si>
    <t xml:space="preserve">Un collaborateur rend un dossier en retard. Vous lui dites : « C'est bon là, il faut vraiment que vous vous organisiez. » Quel est le risque principal de cette formulation ? a) Elle est trop longue b) Elle porte sur la personne plutôt que sur le fait — risque de démobilisation c) Elle est trop polie (Réponse : b)</t>
  </si>
  <si>
    <t xml:space="preserve">MNL-0522</t>
  </si>
  <si>
    <t xml:space="preserve">ICI GRILLE de changements de mots pour s’exercer</t>
  </si>
  <si>
    <t xml:space="preserve">MNL-0523</t>
  </si>
  <si>
    <t xml:space="preserve">3 . Maîtriser l’art du Feedback</t>
  </si>
  <si>
    <t xml:space="preserve">MNL-0524</t>
  </si>
  <si>
    <t xml:space="preserve">Dire ce qui ne va pas sans couper le lien</t>
  </si>
  <si>
    <t xml:space="preserve">MNL-0525</t>
  </si>
  <si>
    <t xml:space="preserve">le feedback, c'est quoi au juste ? "Feedback" veut simplement dire “retour”. Concrètement : dire à quelqu'un, après une action, l'effet qu'elle a produit — ce qui a bien fonctionné, ce qui mérite d'être ajusté. Ce n'est ni un compliment gratuit, ni une sanction déguisée : c'est une information qui permet à l'autre d'ajuster son geste la prochaine fois. Un bon retour se donne vite, sur du concret, et se termine toujours par une direction claire.</t>
  </si>
  <si>
    <t xml:space="preserve">MNL-0526</t>
  </si>
  <si>
    <t xml:space="preserve">MNL-0527</t>
  </si>
  <si>
    <t xml:space="preserve">Le feedback qui marche est précis, pas juste bienveillant La synthèse de référence de Hattie et Timperley (2007) sur les mécanismes du feedback — l'une des plus citées dans ce domaine — établit que ce n'est pas le fait de donner un retour qui produit un effet, mais sa précision : un retour flou ou centré sur la personne freine la progression, quand un retour spécifique et centré sur le fait l'accélère.</t>
  </si>
  <si>
    <t xml:space="preserve">MNL-0528</t>
  </si>
  <si>
    <t xml:space="preserve">Féliciter la personne ou féliciter ce qu'elle a fait, ce n'est pas pareil Dire "vous êtes doué(e)" et dire "vous avez tenu ce délai grâce à votre organisation" n'ont pas le même effet. Le premier complimente ce que la personne est — et, curieusement, ça la rend plus fragile face à un prochain échec. Le second reconnaît ce qu'elle a fait — et ça la rend plus tenace pour continuer à progresser, même quand ça devient difficile. Mueller, C. M., &amp; Dweck, C. S. (1998). Praise for Intelligence Can Undermine Children's Motivation and Performance. Journal of Personality and Social Psychology, 75(1), 33-52. — psychologie du développement / motivation (étude princeps, plusieurs fois répliquée depuis, notamment en contexte adulte et professionnel).</t>
  </si>
  <si>
    <t xml:space="preserve">MNL-0529</t>
  </si>
  <si>
    <t xml:space="preserve">Objectif — Faire un retour exigeant — y compris quand ça corrige — sans que la personne en face se ferme.</t>
  </si>
  <si>
    <t xml:space="preserve">MNL-0530</t>
  </si>
  <si>
    <t xml:space="preserve">Concept — Deux façons de dire la même chose produisent deux effets radicalement différents. Pas sur le fond : sur la manière dont l'autre les reçoit, et sur ce qu'il en fait ensuite.</t>
  </si>
  <si>
    <t xml:space="preserve">MNL-0531</t>
  </si>
  <si>
    <t xml:space="preserve">Si je dis : « Votre rapport est mal fait, vous devez revoir ça. » → Il/elle se referme. Le seul message reçu, c'est le reproche.</t>
  </si>
  <si>
    <t xml:space="preserve">MNL-0532</t>
  </si>
  <si>
    <t xml:space="preserve">Si je dis plutôt : « Votre partie chiffrée est claire et bien sourcée. La synthèse, en revanche, ne reflète pas encore nos priorités — pouvez-vous la reprendre en vous appuyant sur nos trois axes ? » → Il/elle reste dans l'écoute, et sait précisément quoi faire.</t>
  </si>
  <si>
    <t xml:space="preserve">MNL-0533</t>
  </si>
  <si>
    <t xml:space="preserve">A quoi ça sert ? — Un retour qui commence et finit par du négatif met votre interlocuteur sur la défensive. La bonne structure maintient le collaborateur en posture d'apprentissage et nourrit la relation de confiance.</t>
  </si>
  <si>
    <t xml:space="preserve">MNL-0534</t>
  </si>
  <si>
    <t xml:space="preserve">Principe — L'ordre dans lequel les choses sont dites change tout.</t>
  </si>
  <si>
    <t xml:space="preserve">MNL-0535</t>
  </si>
  <si>
    <t xml:space="preserve">Un retour qui porte commence toujours par un fait positif réel et précis,</t>
  </si>
  <si>
    <t xml:space="preserve">MNL-0536</t>
  </si>
  <si>
    <t xml:space="preserve">Nommez ensuite ce qui doit changer sans juger la personne</t>
  </si>
  <si>
    <t xml:space="preserve">MNL-0537</t>
  </si>
  <si>
    <t xml:space="preserve">Terminez sur une direction claire</t>
  </si>
  <si>
    <t xml:space="preserve">MNL-0538</t>
  </si>
  <si>
    <t xml:space="preserve">À vous de jouer — Exercice de réécriture</t>
  </si>
  <si>
    <t xml:space="preserve">MNL-0539</t>
  </si>
  <si>
    <t xml:space="preserve">Message initial : « Votre rapport est mal fait, vous devez revoir ça. » Reformulez-le en 3 phrases : (1) un fait positif précis, (2) le point à ajuster, sans jugement, (3) une direction claire pour la suite. (Champ de saisie libre + proposition affichée après validation, reprenant l'exemple ci-dessus Exemple : La partie chiffrée de votre rapport est parfaitement renseignée et organisée . Je vous invite à reprendre l’ensemble du document avec cette même structuration. Nous aurons ainsi un modèle de présentation pour nos prochains rapports.</t>
  </si>
  <si>
    <t xml:space="preserve">MNL-0540</t>
  </si>
  <si>
    <t xml:space="preserve">Quand la situation est plus tendue — 4 questions qui désamorcent</t>
  </si>
  <si>
    <t xml:space="preserve">MNL-0541</t>
  </si>
  <si>
    <t xml:space="preserve">Face à un écart plus sérieux (un engagement pris sans en informer, une décision qui dépasse le cadre), le même principe se décline en 4 questions à vous poser avant de parler, dans cet ordre :</t>
  </si>
  <si>
    <t xml:space="preserve">MNL-0542</t>
  </si>
  <si>
    <t xml:space="preserve">Qu'est-ce qui s'est passé concrètement ? {Les faits et uniquement les faits } sans interprétation ni jugement</t>
  </si>
  <si>
    <t xml:space="preserve">MNL-0543</t>
  </si>
  <si>
    <t xml:space="preserve">Qu'est-ce que ça m'a fait, à moi — dit en "je", pas en “tu” accusation ?</t>
  </si>
  <si>
    <t xml:space="preserve">MNL-0544</t>
  </si>
  <si>
    <t xml:space="preserve">Qu'est-ce que j'attends maintenant, précisément ?</t>
  </si>
  <si>
    <t xml:space="preserve">MNL-0545</t>
  </si>
  <si>
    <t xml:space="preserve">Qu'est-ce que ça va changer, en bien, si c'est ajusté ?</t>
  </si>
  <si>
    <t xml:space="preserve">MNL-0546</t>
  </si>
  <si>
    <t xml:space="preserve">À vous de jouer — Exercice guidé</t>
  </si>
  <si>
    <t xml:space="preserve">MNL-0547</t>
  </si>
  <si>
    <t xml:space="preserve">Situation : un collaborateur a pris une décision engageante sans vous en informer : il a validé sans votre accord l’attribution d’une subvention à une association face aux médias - Vous devez mettre les choses au clair. Complétez les 4 champs pour rédiger (ou formuler) votre réponse Ce qui s'est passé, sans jugement : …… Ce que ça m'a fait : …… Ce que j'attends maintenant : …… Ce que ça va changer si c'est ajusté : …… Exemple affiché après saisie : « Vous avez validé le partenariat avec l'association avant notre échange prévu jeudi. Je me suis senti(e) mis(e) devant le fait accompli. J'ai besoin d'être informé(e) avant toute décision qui nous engage publiquement. Cela me permettra de vous soutenir pleinement sur ce type de dossier. »)</t>
  </si>
  <si>
    <t xml:space="preserve">MNL-0548</t>
  </si>
  <si>
    <t xml:space="preserve">4. Se faire vraiment entendre</t>
  </si>
  <si>
    <t xml:space="preserve">MNL-0549</t>
  </si>
  <si>
    <t xml:space="preserve">Objectif — Être réellement entendu(e) par l'autre, pas seulement écouté(e) poliment.</t>
  </si>
  <si>
    <t xml:space="preserve">MNL-0550</t>
  </si>
  <si>
    <t xml:space="preserve">Concept — trois repères utiles avant tout échange</t>
  </si>
  <si>
    <t xml:space="preserve">MNL-0551</t>
  </si>
  <si>
    <t xml:space="preserve">Dans une relation, un échange, nous sommes au minimum deux. Trois repères simples aident à garder ça en tête :</t>
  </si>
  <si>
    <t xml:space="preserve">MNL-0552</t>
  </si>
  <si>
    <t xml:space="preserve">Personne n'a tort ou raison dans l'absolu — chacun voit midi à sa porte, à partir de ce qu'il vit.</t>
  </si>
  <si>
    <t xml:space="preserve">MNL-0553</t>
  </si>
  <si>
    <t xml:space="preserve">Ce que je perçois d'une situation n'est jamais toute la situation.</t>
  </si>
  <si>
    <t xml:space="preserve">MNL-0554</t>
  </si>
  <si>
    <t xml:space="preserve">Si mon message n'est pas reçu comme je le voulais, c'est le message qu'il faut ajuster — pas l'autre qu'il faut blâmer.</t>
  </si>
  <si>
    <t xml:space="preserve">MNL-0555</t>
  </si>
  <si>
    <t xml:space="preserve">Notre rôle, en tant que manager, c'est de construire le lien entre des points de vue différents — pas de l'imposer.</t>
  </si>
  <si>
    <t xml:space="preserve">MNL-0556</t>
  </si>
  <si>
    <t xml:space="preserve">Cinq réflexes qui font la différence</t>
  </si>
  <si>
    <t xml:space="preserve">MNL-0557</t>
  </si>
  <si>
    <t xml:space="preserve">Dire ce qu'on veut, pas ce qu'on ne veut pas. « Je veux que le dossier soit finalisé vendredi » plutôt que « Arrêtez de traîner ».</t>
  </si>
  <si>
    <t xml:space="preserve">MNL-0558</t>
  </si>
  <si>
    <t xml:space="preserve">Rejoindre avant de diriger. Montrer d'abord qu'on a compris où en est l'autre, avant de proposer une direction. On ne convainc pas quelqu'un qui ne se sent pas entendu.</t>
  </si>
  <si>
    <t xml:space="preserve">MNL-0559</t>
  </si>
  <si>
    <t xml:space="preserve">Écouter pour de vrai. Sans préparer sa réponse pendant que l'autre parle.</t>
  </si>
  <si>
    <t xml:space="preserve">MNL-0560</t>
  </si>
  <si>
    <t xml:space="preserve">Savoir ce qu'on veut obtenir avant d'ouvrir la bouche. Cette clarté-là évite bien des malentendus.</t>
  </si>
  <si>
    <t xml:space="preserve">MNL-0561</t>
  </si>
  <si>
    <t xml:space="preserve">Si ça n'est pas entendu comme prévu, se demander comment reformuler — pas qui blâmer.</t>
  </si>
  <si>
    <t xml:space="preserve">MNL-0562</t>
  </si>
  <si>
    <t xml:space="preserve">Utilité — Ces réflexes ne changent pas le fond du message ; ils changent sa réception, et donc son efficacité.</t>
  </si>
  <si>
    <t xml:space="preserve">MNL-0563</t>
  </si>
  <si>
    <t xml:space="preserve">Principe — Le respect du point de vue de l'autre précède toujours l'influence. Sauter cette étape produit des résistances, même sur un message légitime.</t>
  </si>
  <si>
    <t xml:space="preserve">MNL-0564</t>
  </si>
  <si>
    <t xml:space="preserve">Application courte</t>
  </si>
  <si>
    <t xml:space="preserve">MNL-0565</t>
  </si>
  <si>
    <t xml:space="preserve">Reformulez cette phrase en mobilisant au moins deux des cinq réflexes : « Arrêtez de me demander une validation pour chaque détail. » → Proposition : « Je vois que vous voulez bien faire, et c'est précieux. J'aimerais que vous puissiez avancer seul(e) sur les décisions du quotidien, et me solliciter surtout sur ce qui engage le service. »</t>
  </si>
  <si>
    <t xml:space="preserve">MNL-0566</t>
  </si>
  <si>
    <t xml:space="preserve">Essentiel à retenir — On dirige mieux une personne qui se sent d'abord comprise. Et si un message tombe à plat, c'est toujours à moi de le reformuler en premier.</t>
  </si>
  <si>
    <t xml:space="preserve">MNL-0567</t>
  </si>
  <si>
    <t xml:space="preserve">MNL-0568</t>
  </si>
  <si>
    <t xml:space="preserve">MNL-0569</t>
  </si>
  <si>
    <t xml:space="preserve">Situation. Vous êtes élu(e) référent(e) d'une commission. Un(e) collaborateur(trice) impliqué(e) et jusque-là fiable enchaîne deux retards sur des livrables, sans explication. Un troisième vient d'arriver, la veille d'une réunion de bureau.</t>
  </si>
  <si>
    <t xml:space="preserve">MNL-0570</t>
  </si>
  <si>
    <t xml:space="preserve">Je vous invite à prendre 2mn pour vous projeter dans la situation avec le maximum de détails. Comme si vous y étiez</t>
  </si>
  <si>
    <t xml:space="preserve">MNL-0571</t>
  </si>
  <si>
    <t xml:space="preserve">Votre mission, si vous l'acceptez. Rédigez, en vous appuyant sur ce que vous venez de voir dans ce module, le message que vous adresseriez à ce(tte) collaborateur(trice) avant la réunion.</t>
  </si>
  <si>
    <t xml:space="preserve">MNL-0572</t>
  </si>
  <si>
    <t xml:space="preserve">MNL-0573</t>
  </si>
  <si>
    <t xml:space="preserve">MNL-0574</t>
  </si>
  <si>
    <t xml:space="preserve">Une fois le message rédigé, l'apprenant coche lui-même, en conscience, où il en est sur 3 critères — sans note chiffrée, dans une logique de prise de recul plutôt que d'évaluation sanctionnante :</t>
  </si>
  <si>
    <t xml:space="preserve">MNL-0575</t>
  </si>
  <si>
    <t xml:space="preserve">MNL-0576</t>
  </si>
  <si>
    <t xml:space="preserve">J'ai nommé un fait précis, sans jugement sur la personne | ☐ | ☐ | ☐</t>
  </si>
  <si>
    <t xml:space="preserve">MNL-0577</t>
  </si>
  <si>
    <t xml:space="preserve">J'ai exprimé mon ressenti sans accuser | ☐ | ☐ | ☐</t>
  </si>
  <si>
    <t xml:space="preserve">MNL-0578</t>
  </si>
  <si>
    <t xml:space="preserve">J'ai formulé une attente claire, tournée vers la suite | ☐ | ☐ | ☐</t>
  </si>
  <si>
    <t xml:space="preserve">MNL-0579</t>
  </si>
  <si>
    <t xml:space="preserve">Si un critère est coché "Pas encore", un exemple de reformulation s'affiche pour ce critère précis, construit sur la situation même du cas concret :</t>
  </si>
  <si>
    <t xml:space="preserve">MNL-0580</t>
  </si>
  <si>
    <t xml:space="preserve">Si "J'ai nommé un fait précis, sans jugement" est en Pas encore : Plutôt que : « Vous n'êtes pas fiable en ce moment. » Essayez : « C'est le troisième livrable qui arrive après le délai convenu, la veille de notre réunion de bureau. »</t>
  </si>
  <si>
    <t xml:space="preserve">MNL-0581</t>
  </si>
  <si>
    <t xml:space="preserve">Si "J'ai exprimé mon ressenti sans accuser" est en Pas encore : Plutôt que : « Vous me mettez dans une position impossible. » Essayez : « Je me retrouve à devoir improviser en réunion, et ça me met en difficulté vis-à-vis du bureau. »</t>
  </si>
  <si>
    <t xml:space="preserve">MNL-0582</t>
  </si>
  <si>
    <t xml:space="preserve">Si "J'ai formulé une attente claire, tournée vers la suite" est en Pas encore : Plutôt que : « Il faut que ça change. » Essayez : « J'ai besoin que vous me signaliez un retard dès que vous le sentez venir, pour qu'on ajuste ensemble avant la réunion. »</t>
  </si>
  <si>
    <t xml:space="preserve">MNL-0583</t>
  </si>
  <si>
    <t xml:space="preserve">MNL-0584</t>
  </si>
  <si>
    <t xml:space="preserve">1. Qu'est-ce qui, avec ce module, vous semble déjà solide dans votre manière de communiquer ? (Champ de réponse libre — une réussite récente, une qualité relationnelle que vous mobilisez bien, un effet positif que vous avez observé.)</t>
  </si>
  <si>
    <t xml:space="preserve">MNL-0585</t>
  </si>
  <si>
    <t xml:space="preserve">2. Qu'avez-vous identifié comme point à ajuster, en lien avec ce que vous venez de comprendre ? (Champ de réponse libre — un réflexe du module qui aurait changé une situation récente.)</t>
  </si>
  <si>
    <t xml:space="preserve">MNL-0586</t>
  </si>
  <si>
    <t xml:space="preserve">3. Quel est le premier geste concret que vous mettez en place, et pour quand ? (Champ de réponse libre — un engagement formulable en une phrase.)</t>
  </si>
  <si>
    <t xml:space="preserve">MNL-0587</t>
  </si>
  <si>
    <t xml:space="preserve">MNL-0588</t>
  </si>
  <si>
    <t xml:space="preserve">Ce que voit l'apprenant à l'écran : ses 3 réponses données en entrée (section 2) s'affichent en rappel, en haut de l'écran. En dessous, les 3 mêmes questions sont reposées — reformulées pour porter, cette fois, sur ce qui vient d'être vu dans le module — avec 3 nouveaux champs de saisie libre. L'apprenant lit ainsi côte à côte "ce que j'ai écrit avant" et "ce que j'écris maintenant" : c'est cette comparaison, faite par lui-même, qui constitue le retour avant/après — il n'y a pas de note calculée automatiquement, la prise de conscience appartient à l'apprenant.</t>
  </si>
  <si>
    <t xml:space="preserve">MNL-0589</t>
  </si>
  <si>
    <t xml:space="preserve">7. Quiz de validation (repassable sans limite, jusqu'à réussite, pour débloquer le Module 5)</t>
  </si>
  <si>
    <t xml:space="preserve">MNL-0590</t>
  </si>
  <si>
    <t xml:space="preserve">Un retour qui fait grandir commence toujours par : a) Le point à corriger b) Un fait positif réel (bonne réponse) c) Une excuse</t>
  </si>
  <si>
    <t xml:space="preserve">MNL-0591</t>
  </si>
  <si>
    <t xml:space="preserve">Face à une situation tendue, la première chose à faire est de : a) Décrire ce qui s'est passé, sans jugement (bonne réponse) b) Dire tout de suite ce qu'on attend c) Minimiser pour ne pas envenimer</t>
  </si>
  <si>
    <t xml:space="preserve">MNL-0592</t>
  </si>
  <si>
    <t xml:space="preserve">« Je veux que le dossier soit finalisé vendredi » fonctionne mieux que « Arrêtez de traîner » parce que : a) C'est plus poli b) Ça dit ce qu'on veut, pas ce qu'on ne veut pas (bonne réponse) c) C'est plus court</t>
  </si>
  <si>
    <t xml:space="preserve">MNL-0593</t>
  </si>
  <si>
    <t xml:space="preserve">Si mon message n'est pas reçu comme je le voulais, la meilleure réaction est de : a) Répéter la même phrase, plus fort b) Me demander comment le reformuler (bonne réponse) c) Considérer que l'autre n'a pas fait d'effort</t>
  </si>
  <si>
    <t xml:space="preserve">MNL-0594</t>
  </si>
  <si>
    <t xml:space="preserve">Montrer d'abord qu'on a compris où en est l'autre, avant de proposer une direction, sert surtout à : a) Gagner du temps b) Être vraiment entendu(e), pas seulement écouté(e) (bonne réponse) c) Éviter le sujet</t>
  </si>
  <si>
    <t xml:space="preserve">MNL-0595</t>
  </si>
  <si>
    <t xml:space="preserve">MNL-0596</t>
  </si>
  <si>
    <t xml:space="preserve">Ce qui pique ou qui soutient dans le choix de vos mots</t>
  </si>
  <si>
    <t xml:space="preserve">MNL-0597</t>
  </si>
  <si>
    <t xml:space="preserve">c'est ce qu'ils supposent sur l'autre — sa compétence, ou son incapacité</t>
  </si>
  <si>
    <t xml:space="preserve">MNL-0598</t>
  </si>
  <si>
    <t xml:space="preserve">c’est ce qu’il peuvent réveiller auprès de votre interlocuteur et que vous ignorez (et parfois lui aussi )</t>
  </si>
  <si>
    <t xml:space="preserve">MNL-0599</t>
  </si>
  <si>
    <t xml:space="preserve">Ce n'est presque jamais le fond du message qui coince en premier, c’est sa verbalisation et sa formulation</t>
  </si>
  <si>
    <t xml:space="preserve">MNL-0600</t>
  </si>
  <si>
    <t xml:space="preserve">Comment vous le dites : intonation, volume, voix &amp; posture corporelle</t>
  </si>
  <si>
    <t xml:space="preserve">MNL-0601</t>
  </si>
  <si>
    <t xml:space="preserve">L'ordre dans lequel vous le dites, et si vous avez pris le temps d'être compris avant de vouloir être suivi.</t>
  </si>
  <si>
    <t xml:space="preserve">MNL-0602</t>
  </si>
  <si>
    <t xml:space="preserve">Voici en résumé 4 réflexes simples, qui changent durablement la manière dont vos mots sont reçus :</t>
  </si>
  <si>
    <t xml:space="preserve">MNL-0603</t>
  </si>
  <si>
    <t xml:space="preserve">Clarifiez votre intention : dites ce que vous voulez au lieu de ce que vous ne voulez pas</t>
  </si>
  <si>
    <t xml:space="preserve">MNL-0604</t>
  </si>
  <si>
    <t xml:space="preserve">Énoncez un fait positif et réel avant de nommer le comportement à rectifier</t>
  </si>
  <si>
    <t xml:space="preserve">MNL-0605</t>
  </si>
  <si>
    <t xml:space="preserve">Privilégiez l’exposition des faits à celui du jugement.</t>
  </si>
  <si>
    <t xml:space="preserve">MNL-0606</t>
  </si>
  <si>
    <t xml:space="preserve">Reformulez votre message pour valider la compréhension afin d’orienter l’action dans la direction souhaitée</t>
  </si>
  <si>
    <t xml:space="preserve">MNL-0607</t>
  </si>
  <si>
    <t xml:space="preserve">Transition vers le Module 5 — Gérer les tensions : ces mêmes réflexes deviennent la première ligne de défense avant l'escalade.</t>
  </si>
  <si>
    <t xml:space="preserve">MNL-0608</t>
  </si>
  <si>
    <t xml:space="preserve">MODULE 5 — GÉRER LES TENSIONS</t>
  </si>
  <si>
    <t xml:space="preserve">S5 — Préserver la relation dans les moments difficiles</t>
  </si>
  <si>
    <t xml:space="preserve">MNL-0609</t>
  </si>
  <si>
    <t xml:space="preserve">Intervenir avant l'escalade ; identifier les signaux faibles et les leviers de régulation</t>
  </si>
  <si>
    <t xml:space="preserve">MNL-0610</t>
  </si>
  <si>
    <t xml:space="preserve">MNL-0611</t>
  </si>
  <si>
    <t xml:space="preserve">MNL-0612</t>
  </si>
  <si>
    <t xml:space="preserve">MNL-0613</t>
  </si>
  <si>
    <t xml:space="preserve">MNL-0614</t>
  </si>
  <si>
    <t xml:space="preserve">Prérequis | Modules 1 à 4 complétés</t>
  </si>
  <si>
    <t xml:space="preserve">MNL-0615</t>
  </si>
  <si>
    <t xml:space="preserve">Indicateur mesurable | Pertinence des réponses aux études de cas (grille à 3 niveaux)</t>
  </si>
  <si>
    <t xml:space="preserve">MNL-0616</t>
  </si>
  <si>
    <t xml:space="preserve">MNL-0617</t>
  </si>
  <si>
    <t xml:space="preserve">Objectifs pédagogiques — à l'issue du module, l'apprenant(e) est capable de : Repérer les signaux d'une tension avant qu'elle ne devienne un conflit ouvert ; Intervenir en position de coopération plutôt que d'affrontement, même quand la tension est déjà là ; Évaluer, face à une situation contextualisée, la pertinence d'une réponse selon son effet réel sur la relation.</t>
  </si>
  <si>
    <t xml:space="preserve">MNL-0618</t>
  </si>
  <si>
    <t xml:space="preserve">MNL-0619</t>
  </si>
  <si>
    <t xml:space="preserve">MNL-0620</t>
  </si>
  <si>
    <t xml:space="preserve">MNL-0621</t>
  </si>
  <si>
    <t xml:space="preserve">MNL-0622</t>
  </si>
  <si>
    <t xml:space="preserve">2 | Ce qui couve avant que ça n'explose | 6 min | Contenu</t>
  </si>
  <si>
    <t xml:space="preserve">MNL-0623</t>
  </si>
  <si>
    <t xml:space="preserve">3 | Repérer tôt, répondre juste | 13 min | Contenu + exercices</t>
  </si>
  <si>
    <t xml:space="preserve">MNL-0624</t>
  </si>
  <si>
    <t xml:space="preserve">4 | Études de cas contextualisées | 11 min | Études de cas + grille à 3 niveaux</t>
  </si>
  <si>
    <t xml:space="preserve">MNL-0625</t>
  </si>
  <si>
    <t xml:space="preserve">5 | On vérifie dans la vraie vie | 6 min | Mise en situation</t>
  </si>
  <si>
    <t xml:space="preserve">MNL-0626</t>
  </si>
  <si>
    <t xml:space="preserve">MNL-0627</t>
  </si>
  <si>
    <t xml:space="preserve">MNL-0628</t>
  </si>
  <si>
    <t xml:space="preserve">0.0 Scénario d'ouverture V1 — script pour vidéo IA (dialogue avant / après)</t>
  </si>
  <si>
    <t xml:space="preserve">MNL-0629</t>
  </si>
  <si>
    <t xml:space="preserve">Durée cible : 45-60 secondes. Ton : sobre, crédible, quotidien. Production simple : 2 personnages seulement, 1 seul décor, aucun changement de plan complexe.</t>
  </si>
  <si>
    <t xml:space="preserve">MNL-0630</t>
  </si>
  <si>
    <t xml:space="preserve">Personnages : l'élu(e), et un(e) collaborateur(trice). Décor unique : un bureau. (Le collègue en tension avec le/la collaborateur(trice) n'apparaît jamais à l'écran — seulement mentionné.)</t>
  </si>
  <si>
    <t xml:space="preserve">MNL-0631</t>
  </si>
  <si>
    <t xml:space="preserve">Situation de départ (identique dans les deux versions).</t>
  </si>
  <si>
    <t xml:space="preserve">MNL-0632</t>
  </si>
  <si>
    <t xml:space="preserve">Collaborateur(trice) : « Avec [collègue], en ce moment, c'est un peu tendu sur le dossier qu'on partage. »</t>
  </si>
  <si>
    <t xml:space="preserve">MNL-0633</t>
  </si>
  <si>
    <t xml:space="preserve">MNL-0634</t>
  </si>
  <si>
    <t xml:space="preserve">L'élu(e), sans lever les yeux de son écran :</t>
  </si>
  <si>
    <t xml:space="preserve">MNL-0635</t>
  </si>
  <si>
    <t xml:space="preserve">Élu(e) : « Ça va se tasser, ne vous en faites pas. »</t>
  </si>
  <si>
    <t xml:space="preserve">MNL-0636</t>
  </si>
  <si>
    <t xml:space="preserve">Bascule à l'écran : « Quelques jours plus tard, même bureau. »</t>
  </si>
  <si>
    <t xml:space="preserve">MNL-0637</t>
  </si>
  <si>
    <t xml:space="preserve">Le/la collaborateur(trice) revient, visiblement plus tendu(e) :</t>
  </si>
  <si>
    <t xml:space="preserve">MNL-0638</t>
  </si>
  <si>
    <t xml:space="preserve">Collaborateur(trice) : « En fait, ça s'est pas arrangé — c'est même pire. »</t>
  </si>
  <si>
    <t xml:space="preserve">MNL-0639</t>
  </si>
  <si>
    <t xml:space="preserve">L'élu(e), surpris(e), doit gérer dans l'urgence ce qui aurait pu être réglé simplement quelques jours plus tôt.</t>
  </si>
  <si>
    <t xml:space="preserve">MNL-0640</t>
  </si>
  <si>
    <t xml:space="preserve">MNL-0641</t>
  </si>
  <si>
    <t xml:space="preserve">MNL-0642</t>
  </si>
  <si>
    <t xml:space="preserve">L'élu(e) pose son stylo, relève les yeux :</t>
  </si>
  <si>
    <t xml:space="preserve">MNL-0643</t>
  </si>
  <si>
    <t xml:space="preserve">Élu(e) : « Qu'est-ce qui coince exactement, de votre point de vue ? »</t>
  </si>
  <si>
    <t xml:space="preserve">MNL-0644</t>
  </si>
  <si>
    <t xml:space="preserve">Le/la collaborateur(trice) explique brièvement.</t>
  </si>
  <si>
    <t xml:space="preserve">MNL-0645</t>
  </si>
  <si>
    <t xml:space="preserve">Élu(e) : « Je vais lui en parler aussi de mon côté. On se revoit dans deux jours pour ajuster ensemble. »</t>
  </si>
  <si>
    <t xml:space="preserve">MNL-0646</t>
  </si>
  <si>
    <t xml:space="preserve">MNL-0647</t>
  </si>
  <si>
    <t xml:space="preserve">Le/la collaborateur(trice) revient, détendu(e) :</t>
  </si>
  <si>
    <t xml:space="preserve">MNL-0648</t>
  </si>
  <si>
    <t xml:space="preserve">Collaborateur(trice) : « C'est reparti sur de bonnes bases, merci d'avoir pris le temps. »</t>
  </si>
  <si>
    <t xml:space="preserve">MNL-0649</t>
  </si>
  <si>
    <t xml:space="preserve">Voix off : « Dans les deux versions, le signal était le même, et arrivait au même moment. Ce qui a changé, c'est ce qu'on en a fait dans les dix secondes qui ont suivi.</t>
  </si>
  <si>
    <t xml:space="preserve">MNL-0650</t>
  </si>
  <si>
    <t xml:space="preserve">Ce module vous donne des repères pour repérer les signaux, et intervenir du bon côté. »</t>
  </si>
  <si>
    <t xml:space="preserve">MNL-0651</t>
  </si>
  <si>
    <t xml:space="preserve">(Fondu sur le titre du module.)</t>
  </si>
  <si>
    <t xml:space="preserve">MNL-0652</t>
  </si>
  <si>
    <t xml:space="preserve">0.1 Scénario d'ouverture V2 — script pour vidéo IA (dialogue avant / après)</t>
  </si>
  <si>
    <t xml:space="preserve">MNL-0653</t>
  </si>
  <si>
    <t xml:space="preserve">Durée cible : 45-60 secondes. Ton : sobre, crédible, quotidien. Production simple : 2 personnages seulement, 1 seul décor.</t>
  </si>
  <si>
    <t xml:space="preserve">MNL-0654</t>
  </si>
  <si>
    <t xml:space="preserve">Personnages : l'élu(e), et un(e) collaborateur(trice). Décor unique : un bureau, lors d'un point d'avancement.</t>
  </si>
  <si>
    <t xml:space="preserve">MNL-0655</t>
  </si>
  <si>
    <t xml:space="preserve">Situation de départ (identique dans les deux versions). La tension n'est pas avec un tiers, cette fois : elle est directement entre l'élu(e) et son/sa collaborateur(trice).</t>
  </si>
  <si>
    <t xml:space="preserve">MNL-0656</t>
  </si>
  <si>
    <t xml:space="preserve">Collaborateur(trice), le ton un peu tendu : « J'ai l'impression que mes propositions ne sont jamais reprises, alors que celles de [collègue] passent toujours. »</t>
  </si>
  <si>
    <t xml:space="preserve">MNL-0657</t>
  </si>
  <si>
    <t xml:space="preserve">MNL-0658</t>
  </si>
  <si>
    <t xml:space="preserve">L'élu(e), sur la défensive, referme le sujet aussitôt :</t>
  </si>
  <si>
    <t xml:space="preserve">MNL-0659</t>
  </si>
  <si>
    <t xml:space="preserve">Élu(e) : « Mais non, ce n'est pas vrai, j'écoute tout le monde pareil. »</t>
  </si>
  <si>
    <t xml:space="preserve">MNL-0660</t>
  </si>
  <si>
    <t xml:space="preserve">Collaborateur(trice), hésitant(e) : « Peut-être, mais... »</t>
  </si>
  <si>
    <t xml:space="preserve">MNL-0661</t>
  </si>
  <si>
    <t xml:space="preserve">Il/elle n'insiste pas, hausse les épaules. Rien n'est réglé. Le sujet reste entier, prêt à ressurgir, ou à s'installer en silence.</t>
  </si>
  <si>
    <t xml:space="preserve">MNL-0662</t>
  </si>
  <si>
    <t xml:space="preserve">MNL-0663</t>
  </si>
  <si>
    <t xml:space="preserve">MNL-0664</t>
  </si>
  <si>
    <t xml:space="preserve">L'élu(e) pose ce qu'il/elle faisait, prend le temps d'accueillir la remarque :</t>
  </si>
  <si>
    <t xml:space="preserve">MNL-0665</t>
  </si>
  <si>
    <t xml:space="preserve">Élu(e) : « Je ne m'en étais pas rendu compte — vous pouvez me donner un exemple récent ? »</t>
  </si>
  <si>
    <t xml:space="preserve">MNL-0666</t>
  </si>
  <si>
    <t xml:space="preserve">Collaborateur(trice) : « La semaine dernière, j'avais proposé qu'on consulte les usagers avant de rédiger le texte sur [le dossier en cours]. Ça n'a pas été retenu. Cette semaine, [collègue] a proposé exactement la même chose sur un autre dossier — et là, ça a été suivi tout de suite. »</t>
  </si>
  <si>
    <t xml:space="preserve">MNL-0667</t>
  </si>
  <si>
    <t xml:space="preserve">Élu(e) : « Je vois de quoi vous parlez, et je comprends que ça pèse. Sur le prochain dossier, je veux votre avis en premier — et si jamais je ne le retiens pas, je vous expliquerai pourquoi. »</t>
  </si>
  <si>
    <t xml:space="preserve">MNL-0668</t>
  </si>
  <si>
    <t xml:space="preserve">Le/la collaborateur(trice) se détend visiblement — le sujet a été entendu, pas balayé.</t>
  </si>
  <si>
    <t xml:space="preserve">MNL-0669</t>
  </si>
  <si>
    <t xml:space="preserve">Voix off : « Dans les deux versions, la remarque demandait la même chose : être entendue. Ce qui a changé, c'est si l'élu(e) a pris ça pour une attaque à repousser, ou pour un signal à accueillir.</t>
  </si>
  <si>
    <t xml:space="preserve">MNL-0670</t>
  </si>
  <si>
    <t xml:space="preserve">Une tension n'est pas toujours entre deux autres personnes. Parfois, elle vous concerne directement — et c'est là qu'elle est la plus difficile à bien recevoir.</t>
  </si>
  <si>
    <t xml:space="preserve">MNL-0671</t>
  </si>
  <si>
    <t xml:space="preserve">Ce module vous donne des repères pour repérer les signaux, et intervenir du bon côté — même quand vous en faites partie.</t>
  </si>
  <si>
    <t xml:space="preserve">MNL-0672</t>
  </si>
  <si>
    <t xml:space="preserve">Un conflit ouvert n'apparaît presque jamais sans prévenir. Avant qu'une tension devienne un conflit visible, elle traverse presque toujours une phase silencieuse : des positions qui se durcissent légèrement, un ton qui change, des échanges qui s'espacent ou se raidissent. Cette phase est le meilleur moment pour intervenir — pas parce qu'elle est confortable, mais parce qu'elle coûte beaucoup moins cher, humainement, qu'une intervention après l'explosion.</t>
  </si>
  <si>
    <t xml:space="preserve">MNL-0673</t>
  </si>
  <si>
    <t xml:space="preserve">MNL-0674</t>
  </si>
  <si>
    <t xml:space="preserve">MNL-0675</t>
  </si>
  <si>
    <t xml:space="preserve">1. Face à une tension naissante dans votre équipe, qu'est-ce qui vous réussit déjà aujourd'hui ? (Champ de réponse libre.)</t>
  </si>
  <si>
    <t xml:space="preserve">MNL-0676</t>
  </si>
  <si>
    <t xml:space="preserve">2. Où sentez-vous que vous intervenez trop tard, ou pas assez tôt ? (Champ de réponse libre.)</t>
  </si>
  <si>
    <t xml:space="preserve">MNL-0677</t>
  </si>
  <si>
    <t xml:space="preserve">MNL-0678</t>
  </si>
  <si>
    <t xml:space="preserve">MNL-0679</t>
  </si>
  <si>
    <t xml:space="preserve">2. Ce qui couve avant que ça n'explose</t>
  </si>
  <si>
    <t xml:space="preserve">MNL-0680</t>
  </si>
  <si>
    <t xml:space="preserve">MNL-0681</t>
  </si>
  <si>
    <t xml:space="preserve">Un repère qui vient de la recherche sur les conflits Face à un désaccord, on peut se mettre dans deux positions très différentes. Soit on cherche, avec l'autre, une solution à un problème qu'on partage — soit on cherche à faire perdre l'autre. La recherche montre que c'est cette position de départ, bien plus que le sujet du désaccord lui-même, qui décide si les choses vont s'arranger ou empirer. Un désaccord qui s'aggrave suit presque toujours le même chemin, en plusieurs étapes. Les tout premiers signes — des positions qui se durcissent, un ton qui devient plus rugueux, des propos qui s'exagèrent — sont encore faciles à désamorcer, sans aide extérieure. Passé un certain point, l'un des deux camps commence à vouloir faire perdre l'autre. Plus loin encore, plus personne ne cherche à gagner : chacun veut simplement que l'autre perde aussi. Plus on intervient tôt, plus ça reste simple. Deutsch, M. (1973). The Resolution of Conflict: Constructive and Destructive Processes. Yale University Press — et Glasl, F. (1980). Konfliktmanagement, traduit et diffusé depuis sous le titre Confronting Conflict (1999).)</t>
  </si>
  <si>
    <t xml:space="preserve">MNL-0682</t>
  </si>
  <si>
    <t xml:space="preserve">Un repère qui vient de la médiation La médiation professionnelle suit toujours le même chemin, dans son principe. D'abord, on écoute chaque personne seule, avant de les mettre face à face — pas l'inverse. Ensuite, on cherche ce qui se cache vraiment derrière ce que chacun réclame : souvent, ce n'est pas ce qu'on croit au premier abord. Enfin, la solution doit venir des personnes elles-mêmes, pas être imposée par celui qui intervient. Trois règles simples accompagnent cette démarche : ne prenez pas parti sur le fond, traitez les deux personnes strictement à égalité, et ne jugez jamais qui a tort ou raison. Vous n'êtes pas médiateur(trice) de métier — mais ces trois règles fonctionnent tout aussi bien dans votre équipe. Christopher Moore (The Mediation Process, 1986)</t>
  </si>
  <si>
    <t xml:space="preserve">MNL-0683</t>
  </si>
  <si>
    <t xml:space="preserve">Ce que l'on peut en retenir — Repérer une tension tôt n'est pas de la surveillance excessive : c'est l'intervention la moins coûteuse, pour tout le monde, y compris pour vous.</t>
  </si>
  <si>
    <t xml:space="preserve">MNL-0684</t>
  </si>
  <si>
    <t xml:space="preserve">"Un désaccord traité tôt coûte dix minutes. Le même désaccord, ignoré, peut coûter une équipe entière."</t>
  </si>
  <si>
    <t xml:space="preserve">MNL-0685</t>
  </si>
  <si>
    <t xml:space="preserve">3. Repérer tôt, répondre juste</t>
  </si>
  <si>
    <t xml:space="preserve">MNL-0686</t>
  </si>
  <si>
    <t xml:space="preserve">3.1 Les trois premiers signaux, avant qu'il ne soit trop tard</t>
  </si>
  <si>
    <t xml:space="preserve">MNL-0687</t>
  </si>
  <si>
    <t xml:space="preserve">Objectif — Reconnaître une tension qui commence, avant qu'elle ne devienne un conflit ouvert.</t>
  </si>
  <si>
    <t xml:space="preserve">MNL-0688</t>
  </si>
  <si>
    <t xml:space="preserve">Concept — Trois signaux précoces reviennent presque systématiquement, bien avant l'éclat :</t>
  </si>
  <si>
    <t xml:space="preserve">MNL-0689</t>
  </si>
  <si>
    <t xml:space="preserve">Signal | Ce que ça ressemble | Ce que ça signale</t>
  </si>
  <si>
    <t xml:space="preserve">MNL-0690</t>
  </si>
  <si>
    <t xml:space="preserve">Le raidissement | Positions qui ne bougent plus, réponses plus courtes qu'avant | Le désaccord n'est plus discuté, il est figé</t>
  </si>
  <si>
    <t xml:space="preserve">MNL-0691</t>
  </si>
  <si>
    <t xml:space="preserve">Le ton qui change | Ironie, sous-entendus, exagérations dans les échanges | Le respect mutuel commence à s'éroder</t>
  </si>
  <si>
    <t xml:space="preserve">MNL-0692</t>
  </si>
  <si>
    <t xml:space="preserve">Le retrait de la parole | Moins d'échanges directs, contournement, communication qui passe par des tiers | Le dialogue direct n'est plus jugé utile — signe le plus sérieux des trois</t>
  </si>
  <si>
    <t xml:space="preserve">MNL-0693</t>
  </si>
  <si>
    <t xml:space="preserve">Utilité — Ces trois signaux sont encore réversibles sans aide extérieure. Une fois qu'un camp cherche activement à faire perdre l'autre, l'intervention devient plus longue et plus délicate.</t>
  </si>
  <si>
    <t xml:space="preserve">MNL-0694</t>
  </si>
  <si>
    <t xml:space="preserve">Principe — Le bon moment pour intervenir n'est pas quand la tension éclate, mais dès le premier de ces trois signaux repéré.</t>
  </si>
  <si>
    <t xml:space="preserve">MNL-0695</t>
  </si>
  <si>
    <t xml:space="preserve">MNL-0696</t>
  </si>
  <si>
    <t xml:space="preserve">Deux collaborateurs qui échangeaient facilement se mettent, depuis une semaine, à communiquer uniquement par message écrit, même pour des points simples. Quel signal cela illustre-t-il ? a) Le raidissement b) Le ton qui change c) Le retrait de la parole (bonne réponse)</t>
  </si>
  <si>
    <t xml:space="preserve">MNL-0697</t>
  </si>
  <si>
    <t xml:space="preserve">3.2 Rester du même côté de la table</t>
  </si>
  <si>
    <t xml:space="preserve">MNL-0698</t>
  </si>
  <si>
    <t xml:space="preserve">Objectif — Intervenir en position de coopération, sans se transformer en juge ou en arbitre qui tranche entre deux camps.</t>
  </si>
  <si>
    <t xml:space="preserve">MNL-0699</t>
  </si>
  <si>
    <t xml:space="preserve">Concept — Face à une tension, le réflexe naturel est parfois de chercher qui a raison. Cela transforme l'échange en compétition — exactement la posture qui, selon Deutsch(cf références) , aggrave les désaccords plutôt qu'elle ne les résout.</t>
  </si>
  <si>
    <t xml:space="preserve">MNL-0700</t>
  </si>
  <si>
    <t xml:space="preserve">Principe — Une question suffit souvent à replacer les deux parties du même côté d'un problème commun : "Qu'est-ce qu'on peut faire, ensemble, pour que ça avance mieux ?" plutôt que "Qui a commencé ?"</t>
  </si>
  <si>
    <t xml:space="preserve">MNL-0701</t>
  </si>
  <si>
    <t xml:space="preserve">Mise en pratique — Recevoir chaque personne séparément d'abord, sans jugement, avant toute tentative de réunion commune — cela évite que l'un des deux se sente pris en défaut devant l'autre.</t>
  </si>
  <si>
    <t xml:space="preserve">MNL-0702</t>
  </si>
  <si>
    <t xml:space="preserve">Essentiel à retenir — Ce n'est pas votre rôle de désigner qui a tort. C'est votre rôle de recréer les conditions pour qu'un dialogue devienne possible.</t>
  </si>
  <si>
    <t xml:space="preserve">MNL-0703</t>
  </si>
  <si>
    <t xml:space="preserve">MNL-0704</t>
  </si>
  <si>
    <t xml:space="preserve">Un collaborateur vous dit, à propos d'un différend avec un collègue : « De toute façon, c'est lui qui a commencé, il n'a qu'à faire le premier pas. » Quelle relance reste du bon côté de la table ? a) « Vous avez raison, je vais lui en parler. » b) « Qu'est-ce qui vous permettrait, vous, de faire un pas, même si ce n'est pas à vous de commencer ? » (bonne réponse) c) « Ce n'est pas très mature comme réaction. »</t>
  </si>
  <si>
    <t xml:space="preserve">MNL-0705</t>
  </si>
  <si>
    <t xml:space="preserve">MNL-0706</t>
  </si>
  <si>
    <t xml:space="preserve">Pour chaque situation, évaluez la réponse proposée selon la grille à 3 niveaux ci-dessous.</t>
  </si>
  <si>
    <t xml:space="preserve">MNL-0707</t>
  </si>
  <si>
    <t xml:space="preserve">Grille d'évaluation à 3 niveaux</t>
  </si>
  <si>
    <t xml:space="preserve">MNL-0708</t>
  </si>
  <si>
    <t xml:space="preserve">Niveau | Ce que ça produit</t>
  </si>
  <si>
    <t xml:space="preserve">MNL-0709</t>
  </si>
  <si>
    <t xml:space="preserve">Niveau 1 — Ça calme dans l'instant | La tension redescend momentanément, mais la cause reste entière — le signal reviendra</t>
  </si>
  <si>
    <t xml:space="preserve">MNL-0710</t>
  </si>
  <si>
    <t xml:space="preserve">Niveau 2 — Ça règle le point précis | Le sujet de friction identifié est traité, la tension retombe durablement sur ce point</t>
  </si>
  <si>
    <t xml:space="preserve">MNL-0711</t>
  </si>
  <si>
    <t xml:space="preserve">Niveau 3 — Ça restaure la coopération | Au-delà du point précis, la capacité des deux personnes à travailler ensemble est reconstruite</t>
  </si>
  <si>
    <t xml:space="preserve">MNL-0712</t>
  </si>
  <si>
    <t xml:space="preserve">Étude de cas 1 — Deux membres de votre équipe se disputent, en réunion, l'attribution d'un dossier valorisant. Vous dites : « Bon, ça suffit, on en reparle plus tard. »</t>
  </si>
  <si>
    <t xml:space="preserve">MNL-0713</t>
  </si>
  <si>
    <t xml:space="preserve">À quel niveau se situe cette réponse ?</t>
  </si>
  <si>
    <t xml:space="preserve">MNL-0714</t>
  </si>
  <si>
    <t xml:space="preserve">a) Niveau 1 (bonne réponse — la tension est mise en pause, pas traitée)</t>
  </si>
  <si>
    <t xml:space="preserve">MNL-0715</t>
  </si>
  <si>
    <t xml:space="preserve">b) Niveau 2</t>
  </si>
  <si>
    <t xml:space="preserve">MNL-0716</t>
  </si>
  <si>
    <t xml:space="preserve">c) Niveau 3</t>
  </si>
  <si>
    <t xml:space="preserve">MNL-0717</t>
  </si>
  <si>
    <t xml:space="preserve">Étude de cas 2 — Un collaborateur vous signale un désaccord persistant avec un partenaire institutionnel. Vous organisez une rencontre à trois pour clarifier les attentes de chacun et redéfinir le cadre de collaboration.</t>
  </si>
  <si>
    <t xml:space="preserve">MNL-0718</t>
  </si>
  <si>
    <t xml:space="preserve">MNL-0719</t>
  </si>
  <si>
    <t xml:space="preserve">a) Niveau 1</t>
  </si>
  <si>
    <t xml:space="preserve">MNL-0720</t>
  </si>
  <si>
    <t xml:space="preserve">b) Niveau 2 (bonne réponse — le point précis est traité et clarifié)</t>
  </si>
  <si>
    <t xml:space="preserve">MNL-0721</t>
  </si>
  <si>
    <t xml:space="preserve">MNL-0722</t>
  </si>
  <si>
    <t xml:space="preserve">Étude de cas 3 — Après un différend entre deux collaborateurs sur la répartition d'un dossier, vous les recevez séparément, identifiez ensemble une nouvelle répartition, puis organisez un point de suivi un mois plus tard pour vérifier que la coopération a repris normalement.</t>
  </si>
  <si>
    <t xml:space="preserve">MNL-0723</t>
  </si>
  <si>
    <t xml:space="preserve">MNL-0724</t>
  </si>
  <si>
    <t xml:space="preserve">MNL-0725</t>
  </si>
  <si>
    <t xml:space="preserve">MNL-0726</t>
  </si>
  <si>
    <t xml:space="preserve">c) Niveau 3 (bonne réponse — la relation elle-même est suivie et restaurée, pas seulement le point de friction)</t>
  </si>
  <si>
    <t xml:space="preserve">MNL-0727</t>
  </si>
  <si>
    <t xml:space="preserve">Étude de cas 4 — En commission, un désaccord technique avec un(e) collègue élu(e) d'un autre groupe politique tourne à l'échange de piques. En sortant de séance, vous lui proposez d'en reparler autour d'un café, en dehors du cadre formel, pour comprendre ce qui a coincé.</t>
  </si>
  <si>
    <t xml:space="preserve">MNL-0728</t>
  </si>
  <si>
    <t xml:space="preserve">MNL-0729</t>
  </si>
  <si>
    <t xml:space="preserve">MNL-0730</t>
  </si>
  <si>
    <t xml:space="preserve">b) Niveau 2 (bonne réponse — le point de friction est traité directement, dans un cadre apaisé, mais sans dispositif de suivi dans la durée)</t>
  </si>
  <si>
    <t xml:space="preserve">MNL-0731</t>
  </si>
  <si>
    <t xml:space="preserve">MNL-0732</t>
  </si>
  <si>
    <t xml:space="preserve">MNL-0733</t>
  </si>
  <si>
    <t xml:space="preserve">MNL-0734</t>
  </si>
  <si>
    <t xml:space="preserve">Situation. Vous constatez, depuis une dizaine de jours, un raidissement entre deux collaborateurs de votre équipe autour d'un dossier partagé — réponses plus courtes en réunion, échanges qui passent de plus en plus par écrit alors qu'ils se parlaient facilement avant.</t>
  </si>
  <si>
    <t xml:space="preserve">MNL-0735</t>
  </si>
  <si>
    <t xml:space="preserve">MNL-0736</t>
  </si>
  <si>
    <t xml:space="preserve">Votre mission, si vous l'acceptez. Rédigez la première étape concrète que vous mettez en place cette semaine, en vous appuyant sur ce que vous venez de voir dans ce module.</t>
  </si>
  <si>
    <t xml:space="preserve">MNL-0737</t>
  </si>
  <si>
    <t xml:space="preserve">MNL-0738</t>
  </si>
  <si>
    <t xml:space="preserve">MNL-0739</t>
  </si>
  <si>
    <t xml:space="preserve">MNL-0740</t>
  </si>
  <si>
    <t xml:space="preserve">J'ai identifié le signal précis observé, sans attendre l'escalade | ☐ | ☐ | ☐</t>
  </si>
  <si>
    <t xml:space="preserve">MNL-0741</t>
  </si>
  <si>
    <t xml:space="preserve">J'ai prévu de recevoir chacun séparément avant toute réunion commune | ☐ | ☐ | ☐</t>
  </si>
  <si>
    <t xml:space="preserve">MNL-0742</t>
  </si>
  <si>
    <t xml:space="preserve">Ma réponse vise à restaurer la coopération, pas seulement à calmer l'instant | ☐ | ☐ | ☐</t>
  </si>
  <si>
    <t xml:space="preserve">MNL-0743</t>
  </si>
  <si>
    <t xml:space="preserve">MNL-0744</t>
  </si>
  <si>
    <t xml:space="preserve">1. Qu'est-ce qui, avec ce module, vous semble déjà clair dans votre façon de repérer les tensions ? (Champ de réponse libre.)</t>
  </si>
  <si>
    <t xml:space="preserve">MNL-0745</t>
  </si>
  <si>
    <t xml:space="preserve">2. Quel signal — raidissement, ton, retrait — reconnaissez-vous comme votre point de vigilance personnel ? (Champ de réponse libre.)</t>
  </si>
  <si>
    <t xml:space="preserve">MNL-0746</t>
  </si>
  <si>
    <t xml:space="preserve">3. Quel est le premier geste concret qu’il vous semble prêt à mettre en application et quand ? (Champ de réponse libre.)</t>
  </si>
  <si>
    <t xml:space="preserve">MNL-0747</t>
  </si>
  <si>
    <t xml:space="preserve">MNL-0748</t>
  </si>
  <si>
    <t xml:space="preserve">MNL-0749</t>
  </si>
  <si>
    <t xml:space="preserve">Le meilleur moment pour intervenir sur une tension naissante est : a) Quand elle devient visible de toute l'équipe b) Dès le premier signal repéré (bonne réponse) c) Jamais, elle finit toujours par se résoudre seule</t>
  </si>
  <si>
    <t xml:space="preserve">MNL-0750</t>
  </si>
  <si>
    <t xml:space="preserve">Une posture coopérative face à un désaccord consiste à : a) Chercher qui a raison b) Chercher, avec les deux parties, une solution au problème commun (bonne réponse) c) Laisser les deux parties se débrouiller entre elles</t>
  </si>
  <si>
    <t xml:space="preserve">MNL-0751</t>
  </si>
  <si>
    <t xml:space="preserve">Le retrait de la parole (communication qui s'espace ou passe par des tiers) est : a) Un signal sans importance b) Souvent le signal le plus sérieux des trois premiers signes de tension (bonne réponse) c) Un signe que la tension est déjà résolue</t>
  </si>
  <si>
    <t xml:space="preserve">MNL-0752</t>
  </si>
  <si>
    <t xml:space="preserve">Une réponse de "Niveau 1" dans la grille de ce module signifie que : a) La coopération est durablement restaurée b) La tension redescend dans l'instant, mais la cause reste entière (bonne réponse) c) Le point précis de friction est réglé</t>
  </si>
  <si>
    <t xml:space="preserve">MNL-0753</t>
  </si>
  <si>
    <t xml:space="preserve">Recevoir chaque personne séparément avant une réunion commune sert principalement à : a) Gagner du temps b) Éviter que l'un se sente pris en défaut devant l'autre (bonne réponse) c) Identifier qui a tort avant la réunion</t>
  </si>
  <si>
    <t xml:space="preserve">MNL-0754</t>
  </si>
  <si>
    <t xml:space="preserve">MNL-0755</t>
  </si>
  <si>
    <t xml:space="preserve">Un conflit ouvert ne surgit presque jamais sans prévenir. Trois signaux précoces</t>
  </si>
  <si>
    <t xml:space="preserve">MNL-0756</t>
  </si>
  <si>
    <t xml:space="preserve">le raidissement de la posture ,</t>
  </si>
  <si>
    <t xml:space="preserve">MNL-0757</t>
  </si>
  <si>
    <t xml:space="preserve">le ton qui change</t>
  </si>
  <si>
    <t xml:space="preserve">MNL-0758</t>
  </si>
  <si>
    <t xml:space="preserve">le retrait de la parole</t>
  </si>
  <si>
    <t xml:space="preserve">MNL-0759</t>
  </si>
  <si>
    <t xml:space="preserve">annoncent presque toujours ce qui vient.</t>
  </si>
  <si>
    <t xml:space="preserve">MNL-0760</t>
  </si>
  <si>
    <t xml:space="preserve">MNL-0761</t>
  </si>
  <si>
    <t xml:space="preserve">Intervenez au premier signal, pas à l'explosion — ça reste simple si c'est fait tôt.</t>
  </si>
  <si>
    <t xml:space="preserve">MNL-0762</t>
  </si>
  <si>
    <t xml:space="preserve">Restez du même côté du problème que les deux parties, pas au-dessus en juge.</t>
  </si>
  <si>
    <t xml:space="preserve">MNL-0763</t>
  </si>
  <si>
    <t xml:space="preserve">Visez la coopération restaurée, pas seulement le calme immédiat — sinon, le même signal reviendra.</t>
  </si>
  <si>
    <t xml:space="preserve">MNL-0764</t>
  </si>
  <si>
    <t xml:space="preserve">Transition vers le Module 6 — Mon autorité ajustée : une fois les tensions repérées et régulées, reste la question de fond — quelle posture d'autorité les prévient le mieux, en amont ?</t>
  </si>
  <si>
    <t xml:space="preserve">MNL-0765</t>
  </si>
  <si>
    <t xml:space="preserve">MODULE 6 — MON AUTORITÉ AJUSTÉE</t>
  </si>
  <si>
    <t xml:space="preserve">MNL-0766</t>
  </si>
  <si>
    <t xml:space="preserve">Trouver le juste dosage de mon autorité</t>
  </si>
  <si>
    <t xml:space="preserve">MNL-0767</t>
  </si>
  <si>
    <t xml:space="preserve">MNL-0768</t>
  </si>
  <si>
    <t xml:space="preserve">MNL-0769</t>
  </si>
  <si>
    <t xml:space="preserve">MNL-0770</t>
  </si>
  <si>
    <t xml:space="preserve">Niveau atteint | Posture</t>
  </si>
  <si>
    <t xml:space="preserve">MNL-0771</t>
  </si>
  <si>
    <t xml:space="preserve">Prérequis | Modules 0 à 5 complétés</t>
  </si>
  <si>
    <t xml:space="preserve">MNL-0772</t>
  </si>
  <si>
    <t xml:space="preserve">Indicateur mesurable | Évolution du positionnement sur l'échelle "autorité ajustée" (auto-déclaratif, comparé au Module 0)</t>
  </si>
  <si>
    <t xml:space="preserve">MNL-0773</t>
  </si>
  <si>
    <t xml:space="preserve">MNL-0774</t>
  </si>
  <si>
    <t xml:space="preserve">Objectifs pédagogiques — à l'issue du module, l'apprenant(e) est capable de : Situer sa propre tendance, sous pression, entre autoritarisme et laxisme ; Repérer, chez ses collaborateurs et dans les résultats produits, les signaux qui révèlent où se trouve réellement son curseur ; Identifier un ajustement concret pour rapprocher sa posture d'une autorité ajustée.</t>
  </si>
  <si>
    <t xml:space="preserve">MNL-0775</t>
  </si>
  <si>
    <t xml:space="preserve">Séquençage (40 min)</t>
  </si>
  <si>
    <t xml:space="preserve">MNL-0776</t>
  </si>
  <si>
    <t xml:space="preserve">MNL-0777</t>
  </si>
  <si>
    <t xml:space="preserve">0 | Scénario d'ouverture (vidéo, trois versions) | 2 min | Vidéo</t>
  </si>
  <si>
    <t xml:space="preserve">MNL-0778</t>
  </si>
  <si>
    <t xml:space="preserve">1 | Avant de débuter, où se situe votre curseur ? | 5 min | Échelle + réponses libres</t>
  </si>
  <si>
    <t xml:space="preserve">MNL-0779</t>
  </si>
  <si>
    <t xml:space="preserve">2 | Le juste dosage : ce que montre la recherche | 6 min | Contenu</t>
  </si>
  <si>
    <t xml:space="preserve">MNL-0780</t>
  </si>
  <si>
    <t xml:space="preserve">3 | Le questionnement guidé, en 3 temps | 15 min | Réflexion guidée</t>
  </si>
  <si>
    <t xml:space="preserve">MNL-0781</t>
  </si>
  <si>
    <t xml:space="preserve">4 | Reconnaître le curseur des autres | 5 min | Mini-scénarios</t>
  </si>
  <si>
    <t xml:space="preserve">MNL-0782</t>
  </si>
  <si>
    <t xml:space="preserve">5 | On vérifie dans la vraie vie | 5 min | Mise en situation</t>
  </si>
  <si>
    <t xml:space="preserve">MNL-0783</t>
  </si>
  <si>
    <t xml:space="preserve">6 | Petit bilan : où en êtes-vous maintenant ? | 3 min | Réflexion personnelle</t>
  </si>
  <si>
    <t xml:space="preserve">MNL-0784</t>
  </si>
  <si>
    <t xml:space="preserve">7 | Quiz de validation + essentiels | 3 min | Quiz noté</t>
  </si>
  <si>
    <t xml:space="preserve">MNL-0785</t>
  </si>
  <si>
    <t xml:space="preserve">MNL-0786</t>
  </si>
  <si>
    <t xml:space="preserve">(en 3 temps )</t>
  </si>
  <si>
    <t xml:space="preserve">MNL-0787</t>
  </si>
  <si>
    <t xml:space="preserve">Durée cible : 75-90 secondes. Ton : sobre, crédible, quotidien. Structure inhabituelle pour ce module : trois versions, pas deux — parce que le sujet est un curseur, pas un choix binaire.</t>
  </si>
  <si>
    <t xml:space="preserve">MNL-0788</t>
  </si>
  <si>
    <t xml:space="preserve">Situation de départ (identique dans les trois versions). Un bureau, au Congrès. Un texte sur [le sujet en débat] doit passer en commission dans trois semaines.</t>
  </si>
  <si>
    <t xml:space="preserve">MNL-0789</t>
  </si>
  <si>
    <t xml:space="preserve">Collaborateur(trice) : « J'ai une idée qui sort un peu du cadre habituel : proposer aux associations concernées un temps d'échange informel avant le passage en commission, pour préparer le terrain. Je pense que ça pourrait vraiment faire la différence. »</t>
  </si>
  <si>
    <t xml:space="preserve">MNL-0790</t>
  </si>
  <si>
    <t xml:space="preserve">Version A — Trop d'autorité</t>
  </si>
  <si>
    <t xml:space="preserve">MNL-0791</t>
  </si>
  <si>
    <t xml:space="preserve">Élu(e), sans même écouter la suite : « Non. On reste sur le circuit habituel, on ne va pas improviser des rencontres. »</t>
  </si>
  <si>
    <t xml:space="preserve">MNL-0792</t>
  </si>
  <si>
    <t xml:space="preserve">Impact visible : le/la collaborateur(trice) baisse les yeux, referme son carnet. Il/elle renonce à proposer de nouvelles idées de ce type.</t>
  </si>
  <si>
    <t xml:space="preserve">MNL-0793</t>
  </si>
  <si>
    <t xml:space="preserve">Bascule à l'écran : « Et si on allait trop loin dans l'autre sens ? »</t>
  </si>
  <si>
    <t xml:space="preserve">MNL-0794</t>
  </si>
  <si>
    <t xml:space="preserve">Version B — Pas assez d'autorité</t>
  </si>
  <si>
    <t xml:space="preserve">MNL-0795</t>
  </si>
  <si>
    <t xml:space="preserve">Élu(e), pour ne pas freiner l'initiative : « Faites comme vous le sentez, je vous fais confiance. »</t>
  </si>
  <si>
    <t xml:space="preserve">MNL-0796</t>
  </si>
  <si>
    <t xml:space="preserve">Impact visible : quelques semaines plus tard, le/la collaborateur(trice) a organisé la rencontre seul(e), sans cadrage précis sur ce qui pouvait être annoncé ou non. Une association a compris qu'un engagement ferme avait été pris sur un point encore en discussion — et le fait circule publiquement avant même le passage en commission. L'élu(e) doit désormais gérer une situation où sa parole semble déjà engagée sur un texte non tranché.</t>
  </si>
  <si>
    <t xml:space="preserve">MNL-0797</t>
  </si>
  <si>
    <t xml:space="preserve">Bascule à l'écran : « Rejouons cette même scène, une dernière fois. »</t>
  </si>
  <si>
    <t xml:space="preserve">MNL-0798</t>
  </si>
  <si>
    <t xml:space="preserve">Version C — Le curseur ajusté</t>
  </si>
  <si>
    <t xml:space="preserve">MNL-0799</t>
  </si>
  <si>
    <t xml:space="preserve">Élu(e) : « Qu'est-ce qui vous fait penser que ça peut marcher ? Quels risques avez-vous identifiés ? »</t>
  </si>
  <si>
    <t xml:space="preserve">MNL-0800</t>
  </si>
  <si>
    <t xml:space="preserve">Le/la collaborateur(trice) répond : la rencontre sera présentée comme un temps d'écoute, pas comme une annonce ; aucun engagement ne sera pris sur le fond du texte, encore en discussion.</t>
  </si>
  <si>
    <t xml:space="preserve">MNL-0801</t>
  </si>
  <si>
    <t xml:space="preserve">Élu(e) : « On y va, avec un point d'étape dans deux semaines pour vérifier que ça tient la route. »</t>
  </si>
  <si>
    <t xml:space="preserve">MNL-0802</t>
  </si>
  <si>
    <t xml:space="preserve">Impact visible : la rencontre se déroule dans ce cadre précis. Aucune ambiguïté sur l'état d'avancement du texte, aucun engagement prématuré. Le point d'étape permet de vérifier que le message donné reste cohérent avec la réalité du dossier.</t>
  </si>
  <si>
    <t xml:space="preserve">MNL-0803</t>
  </si>
  <si>
    <t xml:space="preserve">Voix off : « Trois réponses à la même proposition. La première a fermé l'initiative. La seconde l'a laissée sans garde-fou. La troisième a fait les deux à la fois : accueillir, et cadrer.</t>
  </si>
  <si>
    <t xml:space="preserve">MNL-0804</t>
  </si>
  <si>
    <t xml:space="preserve">Ce module vous donne des questions pour trouver votre propre curseur — un curseur propre à chacun, et mobile d'une situation à l'autre.</t>
  </si>
  <si>
    <t xml:space="preserve">MNL-0805</t>
  </si>
  <si>
    <t xml:space="preserve">1. Avant de débuter, où se situe votre curseur ?</t>
  </si>
  <si>
    <t xml:space="preserve">MNL-0806</t>
  </si>
  <si>
    <t xml:space="preserve">Une échelle, pour commencer</t>
  </si>
  <si>
    <t xml:space="preserve">MNL-0807</t>
  </si>
  <si>
    <t xml:space="preserve">MNL-0808</t>
  </si>
  <si>
    <t xml:space="preserve">(Curseur interactif 1-10. Ce score est comparé à votre profil managérial du Module 0, et repris en fin de module pour mesurer l'évolution de votre propre positionnement.)</t>
  </si>
  <si>
    <t xml:space="preserve">MNL-0809</t>
  </si>
  <si>
    <t xml:space="preserve">Trois questions, en réponses libres</t>
  </si>
  <si>
    <t xml:space="preserve">MNL-0810</t>
  </si>
  <si>
    <t xml:space="preserve">1. Dans quelle situation récente avez-vous eu le sentiment d'avoir le bon dosage d'autorité ? (Champ de réponse libre.)</t>
  </si>
  <si>
    <t xml:space="preserve">MNL-0811</t>
  </si>
  <si>
    <t xml:space="preserve">2. Dans quelle situation récente avez-vous eu le sentiment d'être allé(e) trop loin dans un sens ou dans l'autre ? (Champ de réponse libre.)</t>
  </si>
  <si>
    <t xml:space="preserve">MNL-0812</t>
  </si>
  <si>
    <t xml:space="preserve">3. Qu'aimeriez-vous mieux comprendre sur votre propre curseur, en sortant de ce module ? (Champ de réponse libre, même de façon encore floue à ce stade.)</t>
  </si>
  <si>
    <t xml:space="preserve">MNL-0813</t>
  </si>
  <si>
    <t xml:space="preserve">(Ces réponses - qui ne sont consultables que par vous - sont conservées et réaffichées en section 6.)</t>
  </si>
  <si>
    <t xml:space="preserve">MNL-0814</t>
  </si>
  <si>
    <t xml:space="preserve">2. Le juste dosage : ce que montre la recherche</t>
  </si>
  <si>
    <t xml:space="preserve">MNL-0815</t>
  </si>
  <si>
    <t xml:space="preserve">L'autorité s'ajuste, situation après situation.</t>
  </si>
  <si>
    <t xml:space="preserve">MNL-0816</t>
  </si>
  <si>
    <t xml:space="preserve">L'exercice d'un mandat peut pousser certain(e)s élu(e)s à surinvestir leur autorité — trancher vite, sans toujours laisser l'espace nécessaire à l'initiative. D'autres, à l'inverse, hésitent à l'exercer, par souci de préserver une relation agréable — au risque de laisser une équipe sans cap.</t>
  </si>
  <si>
    <t xml:space="preserve">MNL-0817</t>
  </si>
  <si>
    <t xml:space="preserve">MNL-0818</t>
  </si>
  <si>
    <t xml:space="preserve">Un repère qui vient de la recherche en psychologie sociale L'une des études fondatrices sur le sujet a comparé trois climats de direction dans des groupes de travail : autoritaire, laissez-faire, et participatif. Les résultats, depuis largement confirmés, montrent que Le climat autoritaire produit de l'obéissance en présence du responsable, mais de la tension et une baisse d'initiative en son absence. Le climat laissez-faire produit, lui, une baisse de la qualité et de la quantité du travail produit, faute de cap. C'est le climat participatif — un cadre clair, associé à une vraie place laissée à la contribution de chacun — qui a produit à la fois le meilleur niveau d'engagement et la meilleure qualité de production, de manière durable. (Repère issu de la recherche en psychologie sociale. Référence : Lewin, K., Lippitt, R., &amp; White, R. K. (1939). Patterns of aggressive behavior in experimentally created social climates. Journal of Social Psychology, 10(2), 271-299.)</t>
  </si>
  <si>
    <t xml:space="preserve">MNL-0819</t>
  </si>
  <si>
    <t xml:space="preserve">Ce que l'on peut en retenir — Le curseur ajusté combine deux forces à la fois : la clarté du cadre, et la place laissée à l'initiative.</t>
  </si>
  <si>
    <t xml:space="preserve">MNL-0820</t>
  </si>
  <si>
    <t xml:space="preserve">"Une autorité ajustée reste une autorité pleine et entière — elle sait, simplement, où porter son effort."</t>
  </si>
  <si>
    <t xml:space="preserve">MNL-0821</t>
  </si>
  <si>
    <t xml:space="preserve">3. Le questionnement guidé, en 3 temps</t>
  </si>
  <si>
    <t xml:space="preserve">MNL-0822</t>
  </si>
  <si>
    <t xml:space="preserve">Ce module vous appartient plus que les précédents : il repose sur des questions à vous poser sincèrement, propres à votre situation. Prenez le temps qu'il vous faut sur chacun des trois temps ci-dessous.</t>
  </si>
  <si>
    <t xml:space="preserve">MNL-0823</t>
  </si>
  <si>
    <t xml:space="preserve">3.1 Sous pression, où va mon curseur ?</t>
  </si>
  <si>
    <t xml:space="preserve">MNL-0824</t>
  </si>
  <si>
    <t xml:space="preserve">Quand une décision doit être prise vite, sous tension :</t>
  </si>
  <si>
    <t xml:space="preserve">MNL-0825</t>
  </si>
  <si>
    <t xml:space="preserve">Ai-je tendance à trancher seul(e), sans prendre le temps de la question qui aurait ouvert l'échange ?</t>
  </si>
  <si>
    <t xml:space="preserve">MNL-0826</t>
  </si>
  <si>
    <t xml:space="preserve">Ou ai-je tendance à laisser filer, à éviter de trancher, en espérant que ça se résolve autrement ?</t>
  </si>
  <si>
    <t xml:space="preserve">MNL-0827</t>
  </si>
  <si>
    <t xml:space="preserve">Qu'est-ce qui, chez moi, déclenche l'un ou l'autre de ces réflexes — la fatigue, l'enjeu, la personne en face ?</t>
  </si>
  <si>
    <t xml:space="preserve">MNL-0828</t>
  </si>
  <si>
    <t xml:space="preserve">(Champs de réponse libre pour chaque question.)</t>
  </si>
  <si>
    <t xml:space="preserve">MNL-0829</t>
  </si>
  <si>
    <t xml:space="preserve">3.2 Ce que mes collaborateurs vivent</t>
  </si>
  <si>
    <t xml:space="preserve">MNL-0830</t>
  </si>
  <si>
    <t xml:space="preserve">Quand mes collaborateurs viennent me voir, arrivent-ils avec des solutions, ou seulement avec des problèmes à me remettre ?</t>
  </si>
  <si>
    <t xml:space="preserve">MNL-0831</t>
  </si>
  <si>
    <t xml:space="preserve">Est-ce que je vois, dans mon équipe, plus d'initiatives prises que d'initiatives évitées ?</t>
  </si>
  <si>
    <t xml:space="preserve">MNL-0832</t>
  </si>
  <si>
    <t xml:space="preserve">Si je demandais sincèrement à l'un(e) d'entre eux comment il/elle vit mon niveau d'implication, qu'est-ce qu'il/elle me répondrait, honnêtement ?</t>
  </si>
  <si>
    <t xml:space="preserve">MNL-0833</t>
  </si>
  <si>
    <t xml:space="preserve">MNL-0834</t>
  </si>
  <si>
    <t xml:space="preserve">3.3 Ce que ça produit, au final</t>
  </si>
  <si>
    <t xml:space="preserve">MNL-0835</t>
  </si>
  <si>
    <t xml:space="preserve">Sur les derniers mois, quelles décisions ai-je prises seul(e) qui auraient gagné à être partagées ?</t>
  </si>
  <si>
    <t xml:space="preserve">MNL-0836</t>
  </si>
  <si>
    <t xml:space="preserve">À l'inverse, quelles décisions ai-je laissées filer qui auraient mérité que je tranche plus tôt ?</t>
  </si>
  <si>
    <t xml:space="preserve">MNL-0837</t>
  </si>
  <si>
    <t xml:space="preserve">Si je devais ajuster mon curseur d'un cran, dans un seul sens, lequel choisirais-je aujourd'hui ?</t>
  </si>
  <si>
    <t xml:space="preserve">MNL-0838</t>
  </si>
  <si>
    <t xml:space="preserve">MNL-0839</t>
  </si>
  <si>
    <t xml:space="preserve">Essentiel à retenir — Ces questions ont chacune leur propre réponse — la vôtre, et c'est elle qui compte.</t>
  </si>
  <si>
    <t xml:space="preserve">MNL-0840</t>
  </si>
  <si>
    <t xml:space="preserve">4. Reconnaître le curseur des autres</t>
  </si>
  <si>
    <t xml:space="preserve">MNL-0841</t>
  </si>
  <si>
    <t xml:space="preserve">Trois courtes situations. Pour chacune, quel curseur est en jeu ?</t>
  </si>
  <si>
    <t xml:space="preserve">MNL-0842</t>
  </si>
  <si>
    <t xml:space="preserve">Situation 1 — Avant une commission, un élu du Congrès valide systématiquement chaque étape d'un dossier avant que son collaborateur ne puisse avancer à la suivante, même sur des points mineurs.</t>
  </si>
  <si>
    <t xml:space="preserve">MNL-0843</t>
  </si>
  <si>
    <t xml:space="preserve">Quel curseur cela illustre-t-il ?</t>
  </si>
  <si>
    <t xml:space="preserve">MNL-0844</t>
  </si>
  <si>
    <t xml:space="preserve">a) Autoritarisme (bonne réponse)</t>
  </si>
  <si>
    <t xml:space="preserve">MNL-0845</t>
  </si>
  <si>
    <t xml:space="preserve">b) Laxisme</t>
  </si>
  <si>
    <t xml:space="preserve">MNL-0846</t>
  </si>
  <si>
    <t xml:space="preserve">c) Autorité ajustée</t>
  </si>
  <si>
    <t xml:space="preserve">MNL-0847</t>
  </si>
  <si>
    <t xml:space="preserve">Situation 2 — Une élue confie un dossier sensible sans indiquer ni échéance, ni points de vigilance, ni moment de suivi.</t>
  </si>
  <si>
    <t xml:space="preserve">MNL-0848</t>
  </si>
  <si>
    <t xml:space="preserve">MNL-0849</t>
  </si>
  <si>
    <t xml:space="preserve">a) Autoritarisme</t>
  </si>
  <si>
    <t xml:space="preserve">MNL-0850</t>
  </si>
  <si>
    <t xml:space="preserve">b) Laxisme (bonne réponse)</t>
  </si>
  <si>
    <t xml:space="preserve">MNL-0851</t>
  </si>
  <si>
    <t xml:space="preserve">MNL-0852</t>
  </si>
  <si>
    <t xml:space="preserve">Situation 3 — Un élu fixe un cap clair et une échéance, laisse son collaborateur choisir la méthode, et prévoit un point d'étape à mi-parcours.</t>
  </si>
  <si>
    <t xml:space="preserve">MNL-0853</t>
  </si>
  <si>
    <t xml:space="preserve">MNL-0854</t>
  </si>
  <si>
    <t xml:space="preserve">MNL-0855</t>
  </si>
  <si>
    <t xml:space="preserve">MNL-0856</t>
  </si>
  <si>
    <t xml:space="preserve">c) Autorité ajustée (bonne réponse)</t>
  </si>
  <si>
    <t xml:space="preserve">MNL-0857</t>
  </si>
  <si>
    <t xml:space="preserve">MNL-0858</t>
  </si>
  <si>
    <t xml:space="preserve">Situation. Repensez à une décision récente, dans votre mandat, où vous avez hésité entre trancher vous-même et laisser la main à quelqu'un d'autre.</t>
  </si>
  <si>
    <t xml:space="preserve">MNL-0859</t>
  </si>
  <si>
    <t xml:space="preserve">Votre mission, si vous l'acceptez. Décrivez cette situation en quelques lignes, puis indiquez ce que vous feriez aujourd'hui, avec le recul de ce module, si elle se représentait.</t>
  </si>
  <si>
    <t xml:space="preserve">MNL-0860</t>
  </si>
  <si>
    <t xml:space="preserve">MNL-0861</t>
  </si>
  <si>
    <t xml:space="preserve">MNL-0862</t>
  </si>
  <si>
    <t xml:space="preserve">MNL-0863</t>
  </si>
  <si>
    <t xml:space="preserve">J'ai identifié clairement de quel côté penchait ma décision initiale | ☐ | ☐ | ☐</t>
  </si>
  <si>
    <t xml:space="preserve">MNL-0864</t>
  </si>
  <si>
    <t xml:space="preserve">J'ai identifié un ajustement concret, pas seulement une intention générale | ☐ | ☐ | ☐</t>
  </si>
  <si>
    <t xml:space="preserve">MNL-0865</t>
  </si>
  <si>
    <t xml:space="preserve">Cet ajustement combine un cap clair ET une vraie place laissée à l'initiative | ☐ | ☐ | ☐</t>
  </si>
  <si>
    <t xml:space="preserve">MNL-0866</t>
  </si>
  <si>
    <t xml:space="preserve">6. Petit bilan prémonitoire : où en serez-vous demain ?</t>
  </si>
  <si>
    <t xml:space="preserve">MNL-0867</t>
  </si>
  <si>
    <t xml:space="preserve">avec ce que vous savez maintenant …</t>
  </si>
  <si>
    <t xml:space="preserve">MNL-0868</t>
  </si>
  <si>
    <t xml:space="preserve">La même échelle qu'en entrée</t>
  </si>
  <si>
    <t xml:space="preserve">MNL-0869</t>
  </si>
  <si>
    <t xml:space="preserve">Sur la même échelle de 1 à 10, —1 correspond à "je tranche presque toujours moi-même, vite" et 10 à "je laisse presque toujours l'initiative aux autres" —où vous situeriez-vous à l’avenir dans les situations de tension ou de décision rapide ?</t>
  </si>
  <si>
    <t xml:space="preserve">MNL-0870</t>
  </si>
  <si>
    <t xml:space="preserve">(Le score d'entrée s'affiche en rappel à côté de ce nouveau positionnement — la comparaison est visuelle, sans jugement : il ne s'agit pas d'avoir "bougé" à tout prix, mais d'avoir une conscience plus claire de là où vous êtes.)</t>
  </si>
  <si>
    <t xml:space="preserve">MNL-0871</t>
  </si>
  <si>
    <t xml:space="preserve">1. Qu'est-ce qui, avec ce module, vous semble plus clair sur votre propre curseur ? (Champ de réponse libre.)</t>
  </si>
  <si>
    <t xml:space="preserve">MNL-0872</t>
  </si>
  <si>
    <t xml:space="preserve">2. Dans quelle situation précise allez-vous tester un ajustement ? (Champ de réponse libre.)</t>
  </si>
  <si>
    <t xml:space="preserve">MNL-0873</t>
  </si>
  <si>
    <t xml:space="preserve">MNL-0874</t>
  </si>
  <si>
    <t xml:space="preserve">MNL-0875</t>
  </si>
  <si>
    <t xml:space="preserve">7. Quiz de validation (repassable sans limite, jusqu'à réussite, pour débloquer le Module 7)</t>
  </si>
  <si>
    <t xml:space="preserve">MNL-0876</t>
  </si>
  <si>
    <t xml:space="preserve">Selon les travaux de Lewin, Lippitt et White (1939), un climat de direction autoritaire produit :</t>
  </si>
  <si>
    <t xml:space="preserve">MNL-0877</t>
  </si>
  <si>
    <t xml:space="preserve">a) Le meilleur engagement à long terme</t>
  </si>
  <si>
    <t xml:space="preserve">MNL-0878</t>
  </si>
  <si>
    <t xml:space="preserve">b) De l'obéissance en présence du responsable, mais une baisse d'initiative en son absence (bonne réponse)</t>
  </si>
  <si>
    <t xml:space="preserve">MNL-0879</t>
  </si>
  <si>
    <t xml:space="preserve">c) Une meilleure qualité de production que les autres styles</t>
  </si>
  <si>
    <t xml:space="preserve">MNL-0880</t>
  </si>
  <si>
    <t xml:space="preserve">Un climat de direction laissez-faire produit généralement :</t>
  </si>
  <si>
    <t xml:space="preserve">MNL-0881</t>
  </si>
  <si>
    <t xml:space="preserve">a) Une plus grande autonomie bien vécue</t>
  </si>
  <si>
    <t xml:space="preserve">MNL-0882</t>
  </si>
  <si>
    <t xml:space="preserve">b) Une baisse de la qualité et de la quantité du travail, faute de cap (bonne réponse) c</t>
  </si>
  <si>
    <t xml:space="preserve">MNL-0883</t>
  </si>
  <si>
    <t xml:space="preserve">) Le meilleur niveau de satisfaction des équipes</t>
  </si>
  <si>
    <t xml:space="preserve">MNL-0884</t>
  </si>
  <si>
    <t xml:space="preserve">Une autorité ajustée se caractérise par :</t>
  </si>
  <si>
    <t xml:space="preserve">MNL-0885</t>
  </si>
  <si>
    <t xml:space="preserve">a) Un compromis mou entre fermeté et souplesse</t>
  </si>
  <si>
    <t xml:space="preserve">MNL-0886</t>
  </si>
  <si>
    <t xml:space="preserve">b) Un cap clair et une vraie place laissée à l'initiative, les deux à la fois (bonne réponse)</t>
  </si>
  <si>
    <t xml:space="preserve">MNL-0887</t>
  </si>
  <si>
    <t xml:space="preserve">c) L'absence quasi totale d'intervention du manager</t>
  </si>
  <si>
    <t xml:space="preserve">MNL-0888</t>
  </si>
  <si>
    <t xml:space="preserve">Confier un dossier sensible sans échéance, ni points de vigilance, ni suivi relève :</t>
  </si>
  <si>
    <t xml:space="preserve">MNL-0889</t>
  </si>
  <si>
    <t xml:space="preserve">a) D'une autorité ajustée</t>
  </si>
  <si>
    <t xml:space="preserve">MNL-0890</t>
  </si>
  <si>
    <t xml:space="preserve">b) D'un excès de laxisme (bonne réponse)</t>
  </si>
  <si>
    <t xml:space="preserve">MNL-0891</t>
  </si>
  <si>
    <t xml:space="preserve">c) D'un excès d'autoritarisme</t>
  </si>
  <si>
    <t xml:space="preserve">MNL-0892</t>
  </si>
  <si>
    <t xml:space="preserve">L'objectif de ce module est de :</t>
  </si>
  <si>
    <t xml:space="preserve">MNL-0893</t>
  </si>
  <si>
    <t xml:space="preserve">a) Définir un curseur universel valable pour tous les élus</t>
  </si>
  <si>
    <t xml:space="preserve">MNL-0894</t>
  </si>
  <si>
    <t xml:space="preserve">b) Aider chacun(e) à mieux repérer où se trouve son propre curseur, situation par situation (bonne réponse)</t>
  </si>
  <si>
    <t xml:space="preserve">MNL-0895</t>
  </si>
  <si>
    <t xml:space="preserve">c) Pousser chaque élu(e) vers plus d'autorité, systématiquement</t>
  </si>
  <si>
    <t xml:space="preserve">MNL-0896</t>
  </si>
  <si>
    <t xml:space="preserve">MNL-0897</t>
  </si>
  <si>
    <t xml:space="preserve">L'autorité ajustée n'est pas un point fixe. C'est une attention renouvelée, situation après situation, entre donner un cap et laisser de la place.</t>
  </si>
  <si>
    <t xml:space="preserve">MNL-0898</t>
  </si>
  <si>
    <t xml:space="preserve">MNL-0899</t>
  </si>
  <si>
    <t xml:space="preserve">Sous pression, remarquez de quel côté vous penchez — trancher trop vite, ou éviter de trancher.</t>
  </si>
  <si>
    <t xml:space="preserve">MNL-0900</t>
  </si>
  <si>
    <t xml:space="preserve">Regardez ce que vivent vos collaborateurs : des initiatives prises, ou seulement des problèmes remontés ?</t>
  </si>
  <si>
    <t xml:space="preserve">MNL-0901</t>
  </si>
  <si>
    <t xml:space="preserve">Ajustez d'un cran à la fois — il suffit de savoir, à chaque situation, où porter l'effort.</t>
  </si>
  <si>
    <t xml:space="preserve">MNL-0902</t>
  </si>
  <si>
    <t xml:space="preserve">Transition vers le Module 7 — Mon plan d'action de mandat : l'ensemble des ajustements identifiés dans ce parcours — communication, délégation, tensions, autorité — se rassemblent maintenant dans un engagement concret.</t>
  </si>
  <si>
    <t xml:space="preserve">MNL-0903</t>
  </si>
  <si>
    <t xml:space="preserve">MODULE 7 — MON PLAN D'ACTION DE MANDAT</t>
  </si>
  <si>
    <t xml:space="preserve">S6 — Faire évoluer ma pratique</t>
  </si>
  <si>
    <t xml:space="preserve">MNL-0904</t>
  </si>
  <si>
    <t xml:space="preserve">Transformer ce parcours en engagement concret</t>
  </si>
  <si>
    <t xml:space="preserve">MNL-0905</t>
  </si>
  <si>
    <t xml:space="preserve">MNL-0906</t>
  </si>
  <si>
    <t xml:space="preserve">MNL-0907</t>
  </si>
  <si>
    <t xml:space="preserve">MNL-0908</t>
  </si>
  <si>
    <t xml:space="preserve">Niveau atteint | Engagement</t>
  </si>
  <si>
    <t xml:space="preserve">MNL-0909</t>
  </si>
  <si>
    <t xml:space="preserve">Prérequis | Modules 0 à 6 complétés</t>
  </si>
  <si>
    <t xml:space="preserve">MNL-0910</t>
  </si>
  <si>
    <t xml:space="preserve">Indicateur mesurable | Nombre d'engagements formulés et niveau de précision (SMART : Spécifique, Mesurable, Atteignable, Réaliste, Temporel) du plan d'action</t>
  </si>
  <si>
    <t xml:space="preserve">MNL-0911</t>
  </si>
  <si>
    <t xml:space="preserve">Condition de passage | Complétion du plan d'action — l'indicateur porte sur sa précision, pas sur une bonne ou une mauvaise réponse</t>
  </si>
  <si>
    <t xml:space="preserve">MNL-0912</t>
  </si>
  <si>
    <t xml:space="preserve">Objectifs pédagogiques — à l'issue du module, l'apprenant(e) est capable de : Mesurer le chemin parcouru depuis la photographie de départ du Module 0 ; Distinguer, dans sa pratique actuelle, ce qui mérite d'être maintenu, arrêté, ou expérimenté ; Formuler un plan d'action personnel, précis et daté, directement transférable dans son mandat.</t>
  </si>
  <si>
    <t xml:space="preserve">MNL-0913</t>
  </si>
  <si>
    <t xml:space="preserve">MNL-0914</t>
  </si>
  <si>
    <t xml:space="preserve">MNL-0915</t>
  </si>
  <si>
    <t xml:space="preserve">MNL-0916</t>
  </si>
  <si>
    <t xml:space="preserve">1 | Le chemin parcouru | 3 min | Restitution personnelle</t>
  </si>
  <si>
    <t xml:space="preserve">MNL-0917</t>
  </si>
  <si>
    <t xml:space="preserve">2 | Pourquoi un plan écrit change tout | 5 min | Contenu</t>
  </si>
  <si>
    <t xml:space="preserve">MNL-0918</t>
  </si>
  <si>
    <t xml:space="preserve">3 | Maintenir, arrêter, expérimenter | 8 min | Contenu + construction</t>
  </si>
  <si>
    <t xml:space="preserve">MNL-0919</t>
  </si>
  <si>
    <t xml:space="preserve">4 | Votre plan d'action, en clair | 10 min | Construction du livrable</t>
  </si>
  <si>
    <t xml:space="preserve">MNL-0920</t>
  </si>
  <si>
    <t xml:space="preserve">5 | Votre photographie finale | 4 min | Comparaison avec le Module 0</t>
  </si>
  <si>
    <t xml:space="preserve">MNL-0921</t>
  </si>
  <si>
    <t xml:space="preserve">6 | Pour conclure ce parcours | 3 min | Clôture</t>
  </si>
  <si>
    <t xml:space="preserve">MNL-0922</t>
  </si>
  <si>
    <t xml:space="preserve">MNL-0923</t>
  </si>
  <si>
    <t xml:space="preserve">Durée cible : 60-75 secondes. Ton : chaleureux, incarné. 2 personnages : l'élu(e) et un(e) collaborateur(trice). 1 décor : un bureau, quelques mois après la fin du parcours.</t>
  </si>
  <si>
    <t xml:space="preserve">MNL-0924</t>
  </si>
  <si>
    <t xml:space="preserve">MNL-0925</t>
  </si>
  <si>
    <t xml:space="preserve">Collaborateur(trice) : « Au fait, ça a changé quelque chose, cette formation que vous avez suivie il y a quelques mois ? »</t>
  </si>
  <si>
    <t xml:space="preserve">MNL-0926</t>
  </si>
  <si>
    <t xml:space="preserve">Version A — Sans plan écrit</t>
  </si>
  <si>
    <t xml:space="preserve">MNL-0927</t>
  </si>
  <si>
    <t xml:space="preserve">Élu(e), hésitant(e) : « Oui, plein de bonnes idées... mais je ne saurais plus vous dire exactement lesquelles j'ai vraiment mises en pratique. »</t>
  </si>
  <si>
    <t xml:space="preserve">MNL-0928</t>
  </si>
  <si>
    <t xml:space="preserve">Le/la collaborateur(trice) hausse les sourcils, sans grande conviction. Rien de concret ne lui vient à l'esprit non plus.</t>
  </si>
  <si>
    <t xml:space="preserve">MNL-0929</t>
  </si>
  <si>
    <t xml:space="preserve">Bascule à l'écran : « Rejouons cette même scène, avec un plan écrit en poche. »</t>
  </si>
  <si>
    <t xml:space="preserve">MNL-0930</t>
  </si>
  <si>
    <t xml:space="preserve">Version B — Avec un plan écrit</t>
  </si>
  <si>
    <t xml:space="preserve">MNL-0931</t>
  </si>
  <si>
    <t xml:space="preserve">Élu(e), sans hésiter : « Oui — j'avais noté que je voulais arrêter de reprendre systématiquement les dossiers de X. Ça fait deux mois que je m'y tiens. »</t>
  </si>
  <si>
    <t xml:space="preserve">MNL-0932</t>
  </si>
  <si>
    <t xml:space="preserve">Collaborateur(trice) : « Ça se voit, en fait. On vous sollicite différemment depuis. »</t>
  </si>
  <si>
    <t xml:space="preserve">MNL-0933</t>
  </si>
  <si>
    <t xml:space="preserve">Voix off : « Dans les deux versions, le parcours avait apporté les mêmes repères. Ce qui a changé, c'est qu'un plan écrit, précis et daté, transforme une bonne intention en geste réellement tenu.</t>
  </si>
  <si>
    <t xml:space="preserve">MNL-0934</t>
  </si>
  <si>
    <t xml:space="preserve">Ce dernier module vous donne l’opportunité pour écrire vôtre propre plan d’action managérial</t>
  </si>
  <si>
    <t xml:space="preserve">MNL-0935</t>
  </si>
  <si>
    <t xml:space="preserve">1. Le chemin parcouru</t>
  </si>
  <si>
    <t xml:space="preserve">MNL-0936</t>
  </si>
  <si>
    <t xml:space="preserve">Avant de construire votre plan d'action, un rappel de ce que vous avez posé au fil du parcours.</t>
  </si>
  <si>
    <t xml:space="preserve">MNL-0937</t>
  </si>
  <si>
    <t xml:space="preserve">Ce qui s'affiche à l'écran :</t>
  </si>
  <si>
    <t xml:space="preserve">MNL-0938</t>
  </si>
  <si>
    <t xml:space="preserve">Votre photographie de départ (Module 0), sur les 6 dimensions ;</t>
  </si>
  <si>
    <t xml:space="preserve">MNL-0939</t>
  </si>
  <si>
    <t xml:space="preserve">L'intention que vous aviez formulée dès l'entrée dans le parcours ;</t>
  </si>
  <si>
    <t xml:space="preserve">MNL-0940</t>
  </si>
  <si>
    <t xml:space="preserve">Les réponses données à chaque "petit bilan" de fin de module, module après module.</t>
  </si>
  <si>
    <t xml:space="preserve">MNL-0941</t>
  </si>
  <si>
    <t xml:space="preserve">Une question, pour commencer</t>
  </si>
  <si>
    <t xml:space="preserve">MNL-0942</t>
  </si>
  <si>
    <t xml:space="preserve">En relisant l'ensemble de ce que vous avez écrit depuis le Module 0, qu'est-ce qui vous surprend le plus — une évolution nette, une constance, ou une prise de conscience inattendue ?</t>
  </si>
  <si>
    <t xml:space="preserve">MNL-0943</t>
  </si>
  <si>
    <t xml:space="preserve">MNL-0944</t>
  </si>
  <si>
    <t xml:space="preserve">2. Pourquoi un plan écrit change tout</t>
  </si>
  <si>
    <t xml:space="preserve">MNL-0945</t>
  </si>
  <si>
    <t xml:space="preserve">Une bonne intention et un plan précis produisent rarement le même résultat.</t>
  </si>
  <si>
    <t xml:space="preserve">MNL-0946</t>
  </si>
  <si>
    <t xml:space="preserve">Le parcours vous a donné des repères. Ce module a un objectif différent : transformer ces repères en gestes réellement tenus, une fois le parcours terminé.</t>
  </si>
  <si>
    <t xml:space="preserve">MNL-0947</t>
  </si>
  <si>
    <t xml:space="preserve">MNL-0948</t>
  </si>
  <si>
    <t xml:space="preserve">Un repère qui vient de la recherche sur l'engagement Les travaux de Peter Gollwitzer, menés depuis la fin des années 1990 et largement confirmés depuis, comparent deux façons de se fixer un objectif : une intention générale ("je vais mieux déléguer") et un plan précis, formulé à l'avance ("si telle situation se présente, je ferai précisément cela"). Ses recherches montrent que le second type de formulation multiplie très nettement les chances que l'action soit réellement mise en œuvre — parce que la décision est déjà prise avant que la situation n'arrive, et qu'il ne reste plus qu'à l'appliquer. .(Repère issu de la recherche en psychologie de la motivation. Référence : Gollwitzer, P. M. (1999). Implementation intentions: Strong effects of simple plans. American Psychologist, 54(7), 493-503.)</t>
  </si>
  <si>
    <t xml:space="preserve">MNL-0949</t>
  </si>
  <si>
    <t xml:space="preserve">Ce que l'on peut en retenir — Un plan d'action utile ne décrit pas une bonne intention : il décrit une action précise, à un moment précis, dans une situation précise.</t>
  </si>
  <si>
    <t xml:space="preserve">MNL-0950</t>
  </si>
  <si>
    <t xml:space="preserve">"Une intention se rappelle. Un plan se déclenche."</t>
  </si>
  <si>
    <t xml:space="preserve">MNL-0951</t>
  </si>
  <si>
    <t xml:space="preserve">3. Maintenir, arrêter, expérimenter</t>
  </si>
  <si>
    <t xml:space="preserve">MNL-0952</t>
  </si>
  <si>
    <t xml:space="preserve">Objectif — Passer en revue votre pratique actuelle selon trois catégories simples, pour identifier des actions concrètes dans chacune.</t>
  </si>
  <si>
    <t xml:space="preserve">MNL-0953</t>
  </si>
  <si>
    <t xml:space="preserve">Concept — Trois familles de décisions suffisent à couvrir la plupart des ajustements possibles : ce que vous maintenez parce que ça fonctionne déjà, ce que vous arrêtez parce que ça ne sert plus votre pratique, et ce que vous expérimentez parce que ce parcours vous a donné une piste à tester.</t>
  </si>
  <si>
    <t xml:space="preserve">MNL-0954</t>
  </si>
  <si>
    <t xml:space="preserve">Principe — Ces trois catégories se distinguent nettement : maintenir ne demande pas de description détaillée (un rappel suffit), arrêter demande de nommer précisément ce qui s'arrête, et expérimenter demande une action testable, avec une échéance.</t>
  </si>
  <si>
    <t xml:space="preserve">MNL-0955</t>
  </si>
  <si>
    <t xml:space="preserve">Utilité — Cette structure évite deux pièges fréquents des plans d'action : vouloir tout changer d'un coup (au risque de ne rien tenir), ou rester si général que rien de concret n'en ressort.</t>
  </si>
  <si>
    <t xml:space="preserve">MNL-0956</t>
  </si>
  <si>
    <t xml:space="preserve">Mise en pratique — Pour chaque catégorie, une seule règle : une phrase courte, avec un verbe d'action, et si possible une échéance.</t>
  </si>
  <si>
    <t xml:space="preserve">MNL-0957</t>
  </si>
  <si>
    <t xml:space="preserve">4. Votre plan d'action, en clair</t>
  </si>
  <si>
    <t xml:space="preserve">MNL-0958</t>
  </si>
  <si>
    <t xml:space="preserve">Votre mission, si vous l'acceptez. Complétez les trois catégories ci-dessous. Un seul engagement précis vaut mieux que cinq engagements vagues.</t>
  </si>
  <si>
    <t xml:space="preserve">MNL-0959</t>
  </si>
  <si>
    <t xml:space="preserve">Je maintiens (ce qui fonctionne déjà dans ma pratique) (Champ de réponse libre — au moins 1 élément.)</t>
  </si>
  <si>
    <t xml:space="preserve">MNL-0960</t>
  </si>
  <si>
    <t xml:space="preserve">J'arrête (ce qui ne sert plus ma pratique de manager) (Champ de réponse libre — au moins 1 élément, formulé précisément : quoi, à partir de quand.)</t>
  </si>
  <si>
    <t xml:space="preserve">MNL-0961</t>
  </si>
  <si>
    <t xml:space="preserve">J'expérimente (ce que ce parcours m'a donné envie de tester) (Champ de réponse libre — au moins 1 élément, formulé selon la structure : "Si [situation précise] se présente, alors je [action précise], d'ici [échéance].")</t>
  </si>
  <si>
    <t xml:space="preserve">MNL-0962</t>
  </si>
  <si>
    <t xml:space="preserve">Grille d'auto-évaluation affichée après la saisie (critères SMART)</t>
  </si>
  <si>
    <t xml:space="preserve">MNL-0963</t>
  </si>
  <si>
    <t xml:space="preserve">MNL-0964</t>
  </si>
  <si>
    <t xml:space="preserve">Chaque engagement est spécifique (une action précise, pas une intention générale) | ☐ | ☐ | ☐</t>
  </si>
  <si>
    <t xml:space="preserve">MNL-0965</t>
  </si>
  <si>
    <t xml:space="preserve">Chaque engagement est mesurable ou observable (vous saurez dire si c'est fait) | ☐ | ☐ | ☐</t>
  </si>
  <si>
    <t xml:space="preserve">MNL-0966</t>
  </si>
  <si>
    <t xml:space="preserve">Chaque engagement est réaliste et daté (une échéance concrète) | ☐ | ☐ | ☐</t>
  </si>
  <si>
    <t xml:space="preserve">MNL-0967</t>
  </si>
  <si>
    <t xml:space="preserve">5. Votre photographie finale</t>
  </si>
  <si>
    <t xml:space="preserve">MNL-0968</t>
  </si>
  <si>
    <t xml:space="preserve">La même échelle qu'au Module 0</t>
  </si>
  <si>
    <t xml:space="preserve">MNL-0969</t>
  </si>
  <si>
    <t xml:space="preserve">Sur les 6 dimensions travaillées dans ce parcours, où vous situez-vous aujourd'hui ?</t>
  </si>
  <si>
    <t xml:space="preserve">MNL-0970</t>
  </si>
  <si>
    <t xml:space="preserve">(Le profil du Module 0 s'affiche en rappel, à côté de ce nouveau positionnement — la comparaison est visuelle, sans jugement : il ne s'agit pas d'afficher une progression parfaite sur chaque dimension, mais d'avoir une conscience plus claire de votre propre évolution.)</t>
  </si>
  <si>
    <t xml:space="preserve">MNL-0971</t>
  </si>
  <si>
    <t xml:space="preserve">Retour sur votre intention de départ</t>
  </si>
  <si>
    <t xml:space="preserve">MNL-0972</t>
  </si>
  <si>
    <t xml:space="preserve">Au Module 0, vous aviez formulé une intention pour ce parcours. La voici, rappelée à l'écran. A-t-elle été suivie, ajustée en cours de route, ou dépassée par d'autres priorités apparues pendant le parcours ?</t>
  </si>
  <si>
    <t xml:space="preserve">MNL-0973</t>
  </si>
  <si>
    <t xml:space="preserve">MNL-0974</t>
  </si>
  <si>
    <t xml:space="preserve">6. Pour conclure ce parcours</t>
  </si>
  <si>
    <t xml:space="preserve">MNL-0975</t>
  </si>
  <si>
    <t xml:space="preserve">Ce parcours ne s'arrête pas à un score ou à un quiz réussi. Il se prolonge dans les prochaines semaines de votre mandat, à travers les trois engagements que vous venez d'écrire.</t>
  </si>
  <si>
    <t xml:space="preserve">MNL-0976</t>
  </si>
  <si>
    <t xml:space="preserve">Un dernier repère — Votre plan d'action, votre check-list « 30 premiers jours », vos grilles d'auto-évaluation et vos deux fiches de questions puissantes restent accessibles et réutilisables à tout moment depuis le parcours, bien après sa clôture.</t>
  </si>
  <si>
    <t xml:space="preserve">MNL-0977</t>
  </si>
  <si>
    <t xml:space="preserve">"Le parcours se termine ici. Votre plan, lui, commence maintenant."</t>
  </si>
  <si>
    <t xml:space="preserve">MNL-0978</t>
  </si>
  <si>
    <t xml:space="preserve">Annexe Module 4 — Fiche « Les mots qui piquent / les mots qui soutiennent</t>
  </si>
  <si>
    <t xml:space="preserve">MNL-0979</t>
  </si>
  <si>
    <t xml:space="preserve">Fiche de référence, hors minutage des 45 min — accessible à tout moment depuis le module (renvoi possible depuis la section 3.2), et réutilisable telle quelle comme pense-bête imprimable.</t>
  </si>
  <si>
    <t xml:space="preserve">MNL-0980</t>
  </si>
  <si>
    <t xml:space="preserve">Comment l'utiliser — Avant un échange sensible, un coup d'œil suffit : repérer si la formulation prévue appartient à la colonne de gauche, et si oui, piocher l'équivalent à droite.</t>
  </si>
  <si>
    <t xml:space="preserve">MNL-0981</t>
  </si>
  <si>
    <t xml:space="preserve">Pour donner une consigne</t>
  </si>
  <si>
    <t xml:space="preserve">MNL-0982</t>
  </si>
  <si>
    <t xml:space="preserve">Ça ferme | Ça ouvre</t>
  </si>
  <si>
    <t xml:space="preserve">MNL-0983</t>
  </si>
  <si>
    <t xml:space="preserve">« Débrouillez-vous. » | « Voici ce dont vous avez besoin pour démarrer : … »</t>
  </si>
  <si>
    <t xml:space="preserve">MNL-0984</t>
  </si>
  <si>
    <t xml:space="preserve">« Il faut que ça avance. » | « J'ai besoin que ce soit prêt pour [date/heure précise]. »</t>
  </si>
  <si>
    <t xml:space="preserve">MNL-0985</t>
  </si>
  <si>
    <t xml:space="preserve">« C'est pas compliqué pourtant. » | « Dites-moi si un point n'est pas clair. »</t>
  </si>
  <si>
    <t xml:space="preserve">MNL-0986</t>
  </si>
  <si>
    <t xml:space="preserve">« Vous auriez dû anticiper. » | « La prochaine fois, prévenons-nous plus tôt sur ce type de point. »</t>
  </si>
  <si>
    <t xml:space="preserve">MNL-0987</t>
  </si>
  <si>
    <t xml:space="preserve">Pour faire un retour (feedback)</t>
  </si>
  <si>
    <t xml:space="preserve">MNL-0988</t>
  </si>
  <si>
    <t xml:space="preserve">MNL-0989</t>
  </si>
  <si>
    <t xml:space="preserve">« C'est mal fait. » | « Cette partie est claire ; celle-ci mérite d'être reprise. »</t>
  </si>
  <si>
    <t xml:space="preserve">MNL-0990</t>
  </si>
  <si>
    <t xml:space="preserve">« Vous n'y arrivez pas. » | « Voici ce qui manque pour que ce soit complet. »</t>
  </si>
  <si>
    <t xml:space="preserve">MNL-0991</t>
  </si>
  <si>
    <t xml:space="preserve">« Ça ne va pas du tout. » | « Voici précisément ce qui doit changer. »</t>
  </si>
  <si>
    <t xml:space="preserve">MNL-0992</t>
  </si>
  <si>
    <t xml:space="preserve">« Comme d'habitude… » | (à bannir — ramène toujours au passé plutôt qu'à la situation présente)</t>
  </si>
  <si>
    <t xml:space="preserve">MNL-0993</t>
  </si>
  <si>
    <t xml:space="preserve">Pour reconnaître un travail</t>
  </si>
  <si>
    <t xml:space="preserve">MNL-0994</t>
  </si>
  <si>
    <t xml:space="preserve">Ça ferme (ou n'a aucun effet) | Ça ouvre</t>
  </si>
  <si>
    <t xml:space="preserve">MNL-0995</t>
  </si>
  <si>
    <t xml:space="preserve">« C'était pas mal. » | « La logistique était nickel, c'est vous qui avez géré ça. »</t>
  </si>
  <si>
    <t xml:space="preserve">MNL-0996</t>
  </si>
  <si>
    <t xml:space="preserve">« Bon travail. » (seul, sans précision) | « Ce point précis a vraiment fait la différence : … »</t>
  </si>
  <si>
    <t xml:space="preserve">MNL-0997</t>
  </si>
  <si>
    <t xml:space="preserve">« Vous êtes doué. » | « Vous avez tenu ce délai grâce à votre organisation. »</t>
  </si>
  <si>
    <t xml:space="preserve">MNL-0998</t>
  </si>
  <si>
    <t xml:space="preserve">(silence, aucune remarque) | Un mot bref mais spécifique, même en passant.</t>
  </si>
  <si>
    <t xml:space="preserve">MNL-0999</t>
  </si>
  <si>
    <t xml:space="preserve">Pour recadrer</t>
  </si>
  <si>
    <t xml:space="preserve">MNL-1000</t>
  </si>
  <si>
    <t xml:space="preserve">MNL-1001</t>
  </si>
  <si>
    <t xml:space="preserve">« N'importe quoi. » | « Voilà ce qui s'est passé, tel que je le comprends : … »</t>
  </si>
  <si>
    <t xml:space="preserve">MNL-1002</t>
  </si>
  <si>
    <t xml:space="preserve">« Vous n'auriez jamais dû. » | « Je me suis senti(e) mis(e) devant le fait accompli. »</t>
  </si>
  <si>
    <t xml:space="preserve">MNL-1003</t>
  </si>
  <si>
    <t xml:space="preserve">« Ça ne se reproduira plus, j'espère. » | « J'ai besoin de… la prochaine fois. »</t>
  </si>
  <si>
    <t xml:space="preserve">MNL-1004</t>
  </si>
  <si>
    <t xml:space="preserve">(devant témoin) | (en tête-à-tête, dès que possible)</t>
  </si>
  <si>
    <t xml:space="preserve">MNL-1005</t>
  </si>
  <si>
    <t xml:space="preserve">Mots et tournures à surveiller, en général</t>
  </si>
  <si>
    <t xml:space="preserve">MNL-1006</t>
  </si>
  <si>
    <t xml:space="preserve">À bannir ou limiter | Pourquoi | À privilégier</t>
  </si>
  <si>
    <t xml:space="preserve">MNL-1007</t>
  </si>
  <si>
    <t xml:space="preserve">« Toujours », « jamais » | Généralise à outrance, invite à se défendre plutôt qu'à s'ajuster | Nommer le fait précis, daté</t>
  </si>
  <si>
    <t xml:space="preserve">MNL-1008</t>
  </si>
  <si>
    <t xml:space="preserve">« Il faut que vous… » (répété) | Sonne comme une injonction, ferme le dialogue | « J'ai besoin que… », « Je vous propose de… »</t>
  </si>
  <si>
    <t xml:space="preserve">MNL-1009</t>
  </si>
  <si>
    <t xml:space="preserve">« De toute façon… » | Ferme la discussion avant qu'elle ait lieu | Poser une question ouverte</t>
  </si>
  <si>
    <t xml:space="preserve">MNL-1010</t>
  </si>
  <si>
    <t xml:space="preserve">« Ce n'est pas compliqué » | Minimise ce que l'autre vit, même sans le vouloir | Décrire l'action attendue, sans commentaire sur sa difficulté</t>
  </si>
  <si>
    <t xml:space="preserve">MNL-1011</t>
  </si>
  <si>
    <t xml:space="preserve">« On verra » | Flou, laisse l'autre dans l'incertitude | Donner une échéance, même approximative</t>
  </si>
  <si>
    <t xml:space="preserve">MNL-1012</t>
  </si>
  <si>
    <t xml:space="preserve">Annexe Module 5 — Deux grilles de questions puissantes</t>
  </si>
  <si>
    <t xml:space="preserve">MNL-1013</t>
  </si>
  <si>
    <t xml:space="preserve">Fiche de référence, hors minutage des 35 min — accessible à tout moment depuis le module, et réutilisable telle quelle comme pense-bête avant un entretien sensible.</t>
  </si>
  <si>
    <t xml:space="preserve">MNL-1014</t>
  </si>
  <si>
    <t xml:space="preserve">Grille 1 — Pour intervenir au sein de l'équipe</t>
  </si>
  <si>
    <t xml:space="preserve">MNL-1015</t>
  </si>
  <si>
    <t xml:space="preserve">Avant d'intervenir, un temps pour vous seul(e) :</t>
  </si>
  <si>
    <t xml:space="preserve">MNL-1016</t>
  </si>
  <si>
    <t xml:space="preserve">Qu'est-ce que j'ai observé précisément, sans interprétation ?</t>
  </si>
  <si>
    <t xml:space="preserve">MNL-1017</t>
  </si>
  <si>
    <t xml:space="preserve">Ai-je déjà une idée de qui "a raison" ? Si oui, est-ce que je peux la mettre de côté pour l'instant ?</t>
  </si>
  <si>
    <t xml:space="preserve">MNL-1018</t>
  </si>
  <si>
    <t xml:space="preserve">En entretien individuel, avec chaque personne séparément :</t>
  </si>
  <si>
    <t xml:space="preserve">MNL-1019</t>
  </si>
  <si>
    <t xml:space="preserve">Qu'est-ce qui se passe, de votre point de vue ?</t>
  </si>
  <si>
    <t xml:space="preserve">MNL-1020</t>
  </si>
  <si>
    <t xml:space="preserve">Qu'est-ce qui, pour vous, est le plus difficile dans cette situation ?</t>
  </si>
  <si>
    <t xml:space="preserve">MNL-1021</t>
  </si>
  <si>
    <t xml:space="preserve">Qu'est-ce que vous imaginez que l'autre personne vit, de son côté ?</t>
  </si>
  <si>
    <t xml:space="preserve">MNL-1022</t>
  </si>
  <si>
    <t xml:space="preserve">Qu'est-ce que vous avez déjà essayé pour améliorer les choses ?</t>
  </si>
  <si>
    <t xml:space="preserve">MNL-1023</t>
  </si>
  <si>
    <t xml:space="preserve">De quoi auriez-vous besoin pour que ça avance différemment ?</t>
  </si>
  <si>
    <t xml:space="preserve">MNL-1024</t>
  </si>
  <si>
    <t xml:space="preserve">Qu'est-ce que vous seriez prêt(e) à faire, vous, pour que ça change ?</t>
  </si>
  <si>
    <t xml:space="preserve">MNL-1025</t>
  </si>
  <si>
    <t xml:space="preserve">Quand vous réunissez les deux personnes :</t>
  </si>
  <si>
    <t xml:space="preserve">MNL-1026</t>
  </si>
  <si>
    <t xml:space="preserve">Qu'est-ce que vous avez en commun sur ce dossier, malgré le désaccord ?</t>
  </si>
  <si>
    <t xml:space="preserve">MNL-1027</t>
  </si>
  <si>
    <t xml:space="preserve">Qu'est-ce que chacun de vous pourrait faire différemment, dès cette semaine ?</t>
  </si>
  <si>
    <t xml:space="preserve">MNL-1028</t>
  </si>
  <si>
    <t xml:space="preserve">De quoi avez-vous besoin, l'un de l'autre, pour repartir sur de bonnes bases ?</t>
  </si>
  <si>
    <t xml:space="preserve">MNL-1029</t>
  </si>
  <si>
    <t xml:space="preserve">Comment saurez-vous, dans un mois, que la situation s'est améliorée ?</t>
  </si>
  <si>
    <t xml:space="preserve">MNL-1030</t>
  </si>
  <si>
    <t xml:space="preserve">Grille 2 — Auto-questionnement pour réguler sa propre montée en tension</t>
  </si>
  <si>
    <t xml:space="preserve">MNL-1031</t>
  </si>
  <si>
    <t xml:space="preserve">Dès les premiers signes, avant de réagir :</t>
  </si>
  <si>
    <t xml:space="preserve">MNL-1032</t>
  </si>
  <si>
    <t xml:space="preserve">Qu'est-ce que je ressens, précisément, là maintenant ?</t>
  </si>
  <si>
    <t xml:space="preserve">MNL-1033</t>
  </si>
  <si>
    <t xml:space="preserve">Qu'est-ce qui, dans ce qui vient de se passer, a déclenché cette réaction chez moi ?</t>
  </si>
  <si>
    <t xml:space="preserve">MNL-1034</t>
  </si>
  <si>
    <t xml:space="preserve">Est-ce que je réagis à ce qui vient de se dire, ou à quelque chose de plus ancien que ça réveille ?</t>
  </si>
  <si>
    <t xml:space="preserve">MNL-1035</t>
  </si>
  <si>
    <t xml:space="preserve">Avant de répondre :</t>
  </si>
  <si>
    <t xml:space="preserve">MNL-1036</t>
  </si>
  <si>
    <t xml:space="preserve">Si je réponds maintenant, sous cette tension, qu'est-ce que ça va produire ?</t>
  </si>
  <si>
    <t xml:space="preserve">MNL-1037</t>
  </si>
  <si>
    <t xml:space="preserve">Qu'est-ce que je veux vraiment obtenir de cet échange, une fois la tension retombée ?</t>
  </si>
  <si>
    <t xml:space="preserve">MNL-1038</t>
  </si>
  <si>
    <t xml:space="preserve">De quoi ai-je besoin, moi, pour pouvoir répondre calmement — un temps, une reformulation, une pause ?</t>
  </si>
  <si>
    <t xml:space="preserve">MNL-1039</t>
  </si>
  <si>
    <t xml:space="preserve">Pour reprendre la main sur soi :</t>
  </si>
  <si>
    <t xml:space="preserve">MNL-1040</t>
  </si>
  <si>
    <t xml:space="preserve">Qu'est-ce que je dirais à un collègue que je verrais dans le même état que moi, là maintenant ?</t>
  </si>
  <si>
    <t xml:space="preserve">MNL-1041</t>
  </si>
  <si>
    <t xml:space="preserve">Dans une semaine, qu'est-ce qui me semblera avoir vraiment compté dans cette situation ?</t>
  </si>
  <si>
    <t xml:space="preserve">MNL-1042</t>
  </si>
  <si>
    <t xml:space="preserve">Qu'est-ce que je peux faire, tout de suite, pour redescendre avant de répondre ?</t>
  </si>
  <si>
    <t xml:space="preserve">MNL-1043</t>
  </si>
  <si>
    <t xml:space="preserve">Essentiel à retenir — Une question posée à soi-même, avant de répondre, fait souvent plus pour désamorcer une tension que la meilleure des répliques.</t>
  </si>
  <si>
    <t xml:space="preserve">MNL-1044</t>
  </si>
  <si>
    <t xml:space="preserve">MANAGER SES COLLABORATEURS</t>
  </si>
  <si>
    <t xml:space="preserve">Entrée — Bienvenue</t>
  </si>
  <si>
    <t xml:space="preserve">MNL-1045</t>
  </si>
  <si>
    <t xml:space="preserve">Bienvenue dans votre parcours</t>
  </si>
  <si>
    <t xml:space="preserve">MNL-1046</t>
  </si>
  <si>
    <t xml:space="preserve">Trois questions pour commencer</t>
  </si>
  <si>
    <t xml:space="preserve">MNL-1047</t>
  </si>
  <si>
    <t xml:space="preserve">juste pour voir où vous en êtes aujourd'hui.</t>
  </si>
  <si>
    <t xml:space="preserve">MNL-1048</t>
  </si>
  <si>
    <t xml:space="preserve">1. Combien de fois avez-vous donné une consigne parfaitement claire dans votre tête... qui a produit exactement l'inverse de ce que vous vouliez ?</t>
  </si>
  <si>
    <t xml:space="preserve">MNL-1049</t>
  </si>
  <si>
    <t xml:space="preserve">2. Avez-vous déjà remarqué que certains collaborateurs viennent vous voir avec des solutions, et d'autres seulement avec des problèmes à vous remettre ?</t>
  </si>
  <si>
    <t xml:space="preserve">MNL-1050</t>
  </si>
  <si>
    <t xml:space="preserve">3. Et si la différence entre un mandat où l'on court après tout, et un mandat où l'équipe avance avec vous, tenait à quelques réflexes précis — accessibles à chacun ?</t>
  </si>
  <si>
    <t xml:space="preserve">MNL-1051</t>
  </si>
  <si>
    <t xml:space="preserve">Si l'une de ces questions vous a fait sourire, ce parcours est fait pour vous.</t>
  </si>
  <si>
    <t xml:space="preserve">MNL-1052</t>
  </si>
  <si>
    <t xml:space="preserve">L'esprit de ce parcours</t>
  </si>
  <si>
    <t xml:space="preserve">MNL-1053</t>
  </si>
  <si>
    <t xml:space="preserve">Ici, vous allez développer votre posture — une consigne, un recadrage, une délégation — produit des résultats très différents selon la manière dont il est posé. C'est la posture qui fait la différence, la main qui tient l'outil, plus que l'outil lui-même.</t>
  </si>
  <si>
    <t xml:space="preserve">MNL-1054</t>
  </si>
  <si>
    <t xml:space="preserve">Manager un cabinet, dans le cadre d'un mandat électif, constitue une situation de management à part entière. Vous exercez une responsabilité humaine dans un environnement exigeant : décisions rapides, exposition médiatique, attentes multiples, temporalité politique. Les tensions qui traversent un cabinet trouvent le plus souvent leur source dans la façon dont chacun se positionne dans la relation.</t>
  </si>
  <si>
    <t xml:space="preserve">MNL-1055</t>
  </si>
  <si>
    <t xml:space="preserve">C'est pourquoi ce parcours vous propose un espace pour observer votre propre posture, la questionner, et l'ajuster, à votre rythme, avec bienveillance.</t>
  </si>
  <si>
    <t xml:space="preserve">MNL-1056</t>
  </si>
  <si>
    <t xml:space="preserve">"Un même outil peut construire ou abîmer une relation. Ce qui fait la différence, c'est la main qui le tient."</t>
  </si>
  <si>
    <t xml:space="preserve">MNL-1057</t>
  </si>
  <si>
    <t xml:space="preserve">Comment se déroule le parcours</t>
  </si>
  <si>
    <t xml:space="preserve">MNL-1058</t>
  </si>
  <si>
    <t xml:space="preserve">Le parcours suit une progression : il part d'un état des lieux personnel, traverse des compétences de plus en plus concrètes, converge vers la question de fond — votre posture d'autorité — et se conclut sur un engagement que vous choisissez vous-même.</t>
  </si>
  <si>
    <t xml:space="preserve">MNL-1059</t>
  </si>
  <si>
    <t xml:space="preserve">Étape | Ce que vous y trouvez</t>
  </si>
  <si>
    <t xml:space="preserve">MNL-1060</t>
  </si>
  <si>
    <t xml:space="preserve">Module 0 | Un point de départ : où en êtes-vous aujourd'hui, avant de commencer ?</t>
  </si>
  <si>
    <t xml:space="preserve">MNL-1061</t>
  </si>
  <si>
    <t xml:space="preserve">MNL-1062</t>
  </si>
  <si>
    <t xml:space="preserve">MNL-1063</t>
  </si>
  <si>
    <t xml:space="preserve">Module 6 | Le module différenciant : trouver votre propre curseur d'autorité, le plus juste pour vous</t>
  </si>
  <si>
    <t xml:space="preserve">MNL-1064</t>
  </si>
  <si>
    <t xml:space="preserve">MNL-1065</t>
  </si>
  <si>
    <t xml:space="preserve">Chaque module s'appuie sur le précédent, tout en restant autonome : vous avancez à votre rythme, reprenez où vous vous étiez arrêté(e), et revenez sur un module déjà validé aussi souvent que vous le souhaitez.</t>
  </si>
  <si>
    <t xml:space="preserve">MNL-1066</t>
  </si>
  <si>
    <t xml:space="preserve">À quoi ressemble un module</t>
  </si>
  <si>
    <t xml:space="preserve">MNL-1067</t>
  </si>
  <si>
    <t xml:space="preserve">Des formats courts et concrets, à chaque fois (30 à 45 minutes), qui suivent le même principe :</t>
  </si>
  <si>
    <t xml:space="preserve">MNL-1068</t>
  </si>
  <si>
    <t xml:space="preserve">Une courte scène filmée, pour poser le sujet en situation — toujours une situation reconnaissable et bienveillante.</t>
  </si>
  <si>
    <t xml:space="preserve">MNL-1069</t>
  </si>
  <si>
    <t xml:space="preserve">Un point de départ personnel, en réponses libres, dans vos propres mots.</t>
  </si>
  <si>
    <t xml:space="preserve">MNL-1070</t>
  </si>
  <si>
    <t xml:space="preserve">Des repères concrets, y compris issus de la recherche, présentés en langage clair.</t>
  </si>
  <si>
    <t xml:space="preserve">MNL-1071</t>
  </si>
  <si>
    <t xml:space="preserve">Des mises en situation contextualisées à votre réalité d'élu(e) — Congrès, province, cabinet.</t>
  </si>
  <si>
    <t xml:space="preserve">MNL-1072</t>
  </si>
  <si>
    <t xml:space="preserve">Un quiz serein : repassable autant de fois que vous le souhaitez, jusqu'à la réussite. Chaque tentative compte, et seule la réussite finale reste.</t>
  </si>
  <si>
    <t xml:space="preserve">MNL-1073</t>
  </si>
  <si>
    <t xml:space="preserve">Ce que vous en retirez</t>
  </si>
  <si>
    <t xml:space="preserve">MNL-1074</t>
  </si>
  <si>
    <t xml:space="preserve">À l'issue du parcours, vous repartez avec bien plus qu'une formation suivie. Vous aurez :</t>
  </si>
  <si>
    <t xml:space="preserve">MNL-1075</t>
  </si>
  <si>
    <t xml:space="preserve">une photographie claire de votre posture managériale, avant et après ;</t>
  </si>
  <si>
    <t xml:space="preserve">MNL-1076</t>
  </si>
  <si>
    <t xml:space="preserve">des réflexes concrets, immédiatement transférables dans votre cabinet ;</t>
  </si>
  <si>
    <t xml:space="preserve">MNL-1077</t>
  </si>
  <si>
    <t xml:space="preserve">une check-list et des grilles réutilisables, bien après la fin du parcours ;</t>
  </si>
  <si>
    <t xml:space="preserve">MNL-1078</t>
  </si>
  <si>
    <t xml:space="preserve">un plan d'action personnel, écrit par vous, pour la suite de votre mandat.</t>
  </si>
  <si>
    <t xml:space="preserve">MNL-1079</t>
  </si>
  <si>
    <t xml:space="preserve">Prêt(e) à commencer ? Le Module 0 vous attend — comptez cinq minutes pour poser votre point de départ.</t>
  </si>
  <si>
    <t xml:space="preserve">Architecture cible et transformation du corpus</t>
  </si>
  <si>
    <t xml:space="preserve">Les huit défis sont conservés dans un parcours continu en six séquences, précédé d’une entrée et suivi d’une feuille de route.</t>
  </si>
  <si>
    <t xml:space="preserve">Étape cible</t>
  </si>
  <si>
    <t xml:space="preserve">Défis</t>
  </si>
  <si>
    <t xml:space="preserve">Sources principales</t>
  </si>
  <si>
    <t xml:space="preserve">Sens pour l’élu</t>
  </si>
  <si>
    <t xml:space="preserve">Interactions structurantes</t>
  </si>
  <si>
    <t xml:space="preserve">Nombre de blocs affectés</t>
  </si>
  <si>
    <t xml:space="preserve">Entrée — Bienvenue et où j’en suis aujourd’hui</t>
  </si>
  <si>
    <t xml:space="preserve">8 défis annoncés</t>
  </si>
  <si>
    <t xml:space="preserve">Bienvenue + M0</t>
  </si>
  <si>
    <t xml:space="preserve">Comprendre l’utilité du parcours, connaître le contrat pédagogique et poser un point de départ personnel.</t>
  </si>
  <si>
    <t xml:space="preserve">3 questions d’ouverture ; positionnement initial ; choix de priorités sans exclure aucun défi.</t>
  </si>
  <si>
    <t xml:space="preserve">1 et 2</t>
  </si>
  <si>
    <t xml:space="preserve">M1 + M6</t>
  </si>
  <si>
    <t xml:space="preserve">Créer un cadre de travail clair au service de l’action pour laquelle l’élu a été mandaté.</t>
  </si>
  <si>
    <t xml:space="preserve">Cas de dossier non finalisé ; curseur d’autorité ; clarification des rôles.</t>
  </si>
  <si>
    <t xml:space="preserve">3 et 4</t>
  </si>
  <si>
    <t xml:space="preserve">Réunir les compétences utiles et donner à chacun les moyens de contribuer pleinement aux priorités du mandat.</t>
  </si>
  <si>
    <t xml:space="preserve">Choix de profils enrichis ; premiers jours ; check-list d’intégration.</t>
  </si>
  <si>
    <t xml:space="preserve">5</t>
  </si>
  <si>
    <t xml:space="preserve">M4 + annexe M4</t>
  </si>
  <si>
    <t xml:space="preserve">Traduire les intentions et priorités en résultats concrets et partagés.</t>
  </si>
  <si>
    <t xml:space="preserve">Simulateur 1 : clarification d’une demande ; boucle réflexive complète ; grille d’acquisition.</t>
  </si>
  <si>
    <t xml:space="preserve">6 et 7</t>
  </si>
  <si>
    <t xml:space="preserve">M3 + M4 + annexe M4</t>
  </si>
  <si>
    <t xml:space="preserve">Développer la capacité d’action des collaborateurs et soutenir leur engagement dans la durée.</t>
  </si>
  <si>
    <t xml:space="preserve">Simulateur 2 : délégation ; micromanagement ; feedback et reconnaissance ; boucle réflexive.</t>
  </si>
  <si>
    <t xml:space="preserve">8</t>
  </si>
  <si>
    <t xml:space="preserve">M5 + M4 + annexes M4/M5</t>
  </si>
  <si>
    <t xml:space="preserve">Transformer les difficultés en occasions de clarification, de dialogue et de progression.</t>
  </si>
  <si>
    <t xml:space="preserve">Simulateur 3 : régulation ; signaux faibles ; entretien ; boucle réflexive.</t>
  </si>
  <si>
    <t xml:space="preserve">Synthèse des 8 défis</t>
  </si>
  <si>
    <t xml:space="preserve">M0 + M7</t>
  </si>
  <si>
    <t xml:space="preserve">Comparer sa posture, choisir des évolutions réalistes et formaliser trois engagements.</t>
  </si>
  <si>
    <t xml:space="preserve">Positionnement comparatif ; maintenir/faire évoluer/expérimenter ; feuille de route PDF.</t>
  </si>
  <si>
    <t xml:space="preserve">Couverture du cahier des charges</t>
  </si>
  <si>
    <t xml:space="preserve">Chaque exigence du cahier des charges est isolée afin de pouvoir être reliée au scénario, au prototype et à la recette.</t>
  </si>
  <si>
    <t xml:space="preserve">Section du cahier des charges</t>
  </si>
  <si>
    <t xml:space="preserve">Exigence / décision</t>
  </si>
  <si>
    <t xml:space="preserve">Cible</t>
  </si>
  <si>
    <t xml:space="preserve">Type</t>
  </si>
  <si>
    <t xml:space="preserve">Statut de couverture</t>
  </si>
  <si>
    <t xml:space="preserve">Preuve attendue</t>
  </si>
  <si>
    <t xml:space="preserve">Responsable</t>
  </si>
  <si>
    <t xml:space="preserve">CDC-001</t>
  </si>
  <si>
    <t xml:space="preserve">CAHIER DES CHARGES PÉDAGOGIQUE ET MÉDIA</t>
  </si>
  <si>
    <t xml:space="preserve">Transversal</t>
  </si>
  <si>
    <t xml:space="preserve">À intégrer / contrôler</t>
  </si>
  <si>
    <t xml:space="preserve">Matrice corpus + scénario détaillé</t>
  </si>
  <si>
    <t xml:space="preserve">IFAP</t>
  </si>
  <si>
    <t xml:space="preserve">CDC-002</t>
  </si>
  <si>
    <t xml:space="preserve">Manager ses collaborateurs en tant qu’élu</t>
  </si>
  <si>
    <t xml:space="preserve">CDC-003</t>
  </si>
  <si>
    <t xml:space="preserve">Module e-learning destiné aux élus du Congrès de la Nouvelle-Calédonie</t>
  </si>
  <si>
    <t xml:space="preserve">CDC-004</t>
  </si>
  <si>
    <t xml:space="preserve">Promesse pédagogique Donner un cap clair, organiser la coopération et exercer une autorité à la fois exigeante, humaine et ajustée.</t>
  </si>
  <si>
    <t xml:space="preserve">CDC-005</t>
  </si>
  <si>
    <t xml:space="preserve">Repère | Décision</t>
  </si>
  <si>
    <t xml:space="preserve">CDC-006</t>
  </si>
  <si>
    <t xml:space="preserve">Public | Élus du Congrès de la Nouvelle-Calédonie — mandature 2026–2031</t>
  </si>
  <si>
    <t xml:space="preserve">CDC-007</t>
  </si>
  <si>
    <t xml:space="preserve">Durée cible | Environ 2 h ; exploration possible jusqu’à 2 h 30</t>
  </si>
  <si>
    <t xml:space="preserve">CDC-008</t>
  </si>
  <si>
    <t xml:space="preserve">Modalité | Parcours numérique fractionnable avec reprise exacte</t>
  </si>
  <si>
    <t xml:space="preserve">CDC-009</t>
  </si>
  <si>
    <t xml:space="preserve">Architecture | 6 séquences continues, 8 défis personnalisés</t>
  </si>
  <si>
    <t xml:space="preserve">CDC-010</t>
  </si>
  <si>
    <t xml:space="preserve">Expertise | Contenus et formulations de Marie-Noëlle Lopez</t>
  </si>
  <si>
    <t xml:space="preserve">CDC-011</t>
  </si>
  <si>
    <t xml:space="preserve">Statut | Cahier des charges consolidé avant scénario détaillé</t>
  </si>
  <si>
    <t xml:space="preserve">CDC-012</t>
  </si>
  <si>
    <t xml:space="preserve">Version | v2 — 14 août 2026 — intégration de trois simulateurs managériaux</t>
  </si>
  <si>
    <t xml:space="preserve">S3, S4 et S5</t>
  </si>
  <si>
    <t xml:space="preserve">CDC-013</t>
  </si>
  <si>
    <t xml:space="preserve">Ce document consolide les décisions prises au cours des échanges d’ingénierie. Il fixe le cadre du scénario détaillé, de la validation des situations, de la médiatisation et de la production technique.</t>
  </si>
  <si>
    <t xml:space="preserve">CDC-014</t>
  </si>
  <si>
    <t xml:space="preserve">1. Finalité et périmètre</t>
  </si>
  <si>
    <t xml:space="preserve">CDC-015</t>
  </si>
  <si>
    <t xml:space="preserve">1.1 Finalité</t>
  </si>
  <si>
    <t xml:space="preserve">CDC-016</t>
  </si>
  <si>
    <t xml:space="preserve">Le parcours accompagne l’élu dans l’évolution de sa posture managériale afin qu’il puisse s’appuyer sur une coopération claire, autonome et engagée au service de son mandat. Le management est traité comme une pratique de relation, de clarification et d’action, et non comme une formation aux procédures internes du Congrès.</t>
  </si>
  <si>
    <t xml:space="preserve">CDC-017</t>
  </si>
  <si>
    <t xml:space="preserve">1.2 Périmètre</t>
  </si>
  <si>
    <t xml:space="preserve">CDC-018</t>
  </si>
  <si>
    <t xml:space="preserve">Le parcours concerne exclusivement la posture de l’élu du Congrès dans la relation avec ses collaborateurs politiques.</t>
  </si>
  <si>
    <t xml:space="preserve">Liste</t>
  </si>
  <si>
    <t xml:space="preserve">CDC-019</t>
  </si>
  <si>
    <t xml:space="preserve">La double casquette éventuelle d’élu provincial et d’élu du Congrès est explicitée à l’entrée afin d’éviter les glissements de posture ou de responsabilité.</t>
  </si>
  <si>
    <t xml:space="preserve">CDC-020</t>
  </si>
  <si>
    <t xml:space="preserve">Les outils, procédures internes, formalités administratives et caractéristiques techniques des fonctions ne sont pas enseignés dans ce module.</t>
  </si>
  <si>
    <t xml:space="preserve">CDC-021</t>
  </si>
  <si>
    <t xml:space="preserve">Les situations sont contextualisées à la réalité du Congrès : commissions, dossiers, décisions politiques, demandes de subvention, communication, presse et groupe politique.</t>
  </si>
  <si>
    <t xml:space="preserve">CDC-022</t>
  </si>
  <si>
    <t xml:space="preserve">1.3 Principes rédactionnels</t>
  </si>
  <si>
    <t xml:space="preserve">CDC-023</t>
  </si>
  <si>
    <t xml:space="preserve">Formulations positives, fluides et orientées vers les solutions.</t>
  </si>
  <si>
    <t xml:space="preserve">CDC-024</t>
  </si>
  <si>
    <t xml:space="preserve">Conservation aussi fidèle que possible des formulations expertes de Marie-Noëlle Lopez.</t>
  </si>
  <si>
    <t xml:space="preserve">CDC-025</t>
  </si>
  <si>
    <t xml:space="preserve">Adaptations limitées aux corrections grammaticales, à la lisibilité numérique et aux nécessités de l’interaction.</t>
  </si>
  <si>
    <t xml:space="preserve">CDC-026</t>
  </si>
  <si>
    <t xml:space="preserve">Chaque adaptation significative est repérable dans le scénario afin de faciliter la validation experte.</t>
  </si>
  <si>
    <t xml:space="preserve">CDC-027</t>
  </si>
  <si>
    <t xml:space="preserve">2. Contrat pédagogique : les huit défis</t>
  </si>
  <si>
    <t xml:space="preserve">CDC-028</t>
  </si>
  <si>
    <t xml:space="preserve">Les huit objectifs initiaux sont maintenus et présentés à l’apprenant comme huit défis personnels. Ils sont affichés dès la première page, puis rappelés au début de la séquence qui les travaille.</t>
  </si>
  <si>
    <t xml:space="preserve">Entrée</t>
  </si>
  <si>
    <t xml:space="preserve">CDC-029</t>
  </si>
  <si>
    <t xml:space="preserve">Défi formulé pour l’élu | À quoi cela me sert dans mon mandat</t>
  </si>
  <si>
    <t xml:space="preserve">CDC-030</t>
  </si>
  <si>
    <t xml:space="preserve">1. Je trouve le bon équilibre entre autorité et confiance. | Donner un cadre clair tout en permettant à mes collaborateurs de prendre leur place.</t>
  </si>
  <si>
    <t xml:space="preserve">CDC-031</t>
  </si>
  <si>
    <t xml:space="preserve">2. Je clarifie les rôles et les responsabilités de chacun. | Partager des attentes compréhensibles et organiser une coopération efficace.</t>
  </si>
  <si>
    <t xml:space="preserve">CDC-032</t>
  </si>
  <si>
    <t xml:space="preserve">3. J’identifie le profil dont j’ai réellement besoin. | Mobiliser les compétences adaptées aux priorités de mon mandat.</t>
  </si>
  <si>
    <t xml:space="preserve">CDC-033</t>
  </si>
  <si>
    <t xml:space="preserve">4. Je donne à mon collaborateur les moyens de réussir son intégration. | Lui permettre de comprendre rapidement mes priorités, son rôle et notre manière de travailler.</t>
  </si>
  <si>
    <t xml:space="preserve">CDC-034</t>
  </si>
  <si>
    <t xml:space="preserve">5. Je transforme mes intentions en objectifs clairs. | Faire aboutir un travail conforme aux attentes et utile dans les délais du mandat.</t>
  </si>
  <si>
    <t xml:space="preserve">CDC-035</t>
  </si>
  <si>
    <t xml:space="preserve">6. Je délègue en laissant une véritable marge d’action. | Développer l’autonomie de mes collaborateurs et consacrer mon temps à mes responsabilités d’élu.</t>
  </si>
  <si>
    <t xml:space="preserve">S4</t>
  </si>
  <si>
    <t xml:space="preserve">CDC-036</t>
  </si>
  <si>
    <t xml:space="preserve">7. J’entretiens l’engagement et je reconnais les contributions. | Soutenir durablement la motivation, la confiance et l’envie de contribuer.</t>
  </si>
  <si>
    <t xml:space="preserve">CDC-037</t>
  </si>
  <si>
    <t xml:space="preserve">8. Je préviens les tensions et je conduis les échanges difficiles. | Clarifier les difficultés et préserver une coopération constructive.</t>
  </si>
  <si>
    <t xml:space="preserve">S5</t>
  </si>
  <si>
    <t xml:space="preserve">CDC-038</t>
  </si>
  <si>
    <t xml:space="preserve">3. Architecture du parcours</t>
  </si>
  <si>
    <t xml:space="preserve">CDC-039</t>
  </si>
  <si>
    <t xml:space="preserve">Séquence | Défis | Sens donné à l’élu | Situation dominante</t>
  </si>
  <si>
    <t xml:space="preserve">CDC-040</t>
  </si>
  <si>
    <t xml:space="preserve">1. Prendre ma place de manager | 1 et 2 | Créer un cadre de travail clair au service de l’action pour laquelle j’ai été élu et mandaté. | Un dossier important n’est pas prêt et l’élu reprend fortement le contrôle.</t>
  </si>
  <si>
    <t xml:space="preserve">S1</t>
  </si>
  <si>
    <t xml:space="preserve">CDC-041</t>
  </si>
  <si>
    <t xml:space="preserve">2. Construire une équipe sur laquelle je peux m’appuyer | 3 et 4 | Réunir les compétences utiles et donner à chacun les moyens de contribuer pleinement aux priorités du mandat. | Choisir un profil complémentaire, puis organiser ses premiers jours.</t>
  </si>
  <si>
    <t xml:space="preserve">S2</t>
  </si>
  <si>
    <t xml:space="preserve">CDC-042</t>
  </si>
  <si>
    <t xml:space="preserve">3. Faire comprendre ce que j’attends | 5 | Traduire mes intentions et mes priorités en résultats concrets et partagés. | Transformer une demande imprécise avant une commission en résultat exploitable.</t>
  </si>
  <si>
    <t xml:space="preserve">S3</t>
  </si>
  <si>
    <t xml:space="preserve">CDC-043</t>
  </si>
  <si>
    <t xml:space="preserve">4. Faire grandir l’autonomie et l’engagement | 6 et 7 | Développer la capacité d’action de mes collaborateurs et soutenir leur engagement dans la durée. | Déléguer un dossier, organiser le suivi, puis réagir au désengagement.</t>
  </si>
  <si>
    <t xml:space="preserve">CDC-044</t>
  </si>
  <si>
    <t xml:space="preserve">5. Préserver la relation dans les moments difficiles | 8 | Transformer les difficultés en occasions de clarification, de dialogue et de progression. | Conduire un échange après des incompréhensions et un retard répété.</t>
  </si>
  <si>
    <t xml:space="preserve">CDC-045</t>
  </si>
  <si>
    <t xml:space="preserve">6. Faire évoluer ma pratique | Synthèse | Choisir des évolutions réalistes qui renforceront mon action et la coopération. | Comparer sa posture, choisir trois engagements et finaliser sa feuille de route.</t>
  </si>
  <si>
    <t xml:space="preserve">Entrée et S6</t>
  </si>
  <si>
    <t xml:space="preserve">CDC-046</t>
  </si>
  <si>
    <t xml:space="preserve">Continuité du parcours Les séquences forment un chemin accompagné : je prends ma place, je construis la coopération, je donne le cap, je développe l’autonomie, je régule et je progresse. Les huit défis restent visibles sans créer une impression de morcellement.</t>
  </si>
  <si>
    <t xml:space="preserve">CDC-047</t>
  </si>
  <si>
    <t xml:space="preserve">4. Situations et personnages</t>
  </si>
  <si>
    <t xml:space="preserve">CDC-048</t>
  </si>
  <si>
    <t xml:space="preserve">4.1 Six situations ou épisodes</t>
  </si>
  <si>
    <t xml:space="preserve">CDC-049</t>
  </si>
  <si>
    <t xml:space="preserve">Séquence | Situation | Traitement</t>
  </si>
  <si>
    <t xml:space="preserve">CDC-050</t>
  </si>
  <si>
    <t xml:space="preserve">1 | Un dossier important n’est pas prêt ; l’élu reprend fortement le contrôle. | Situation approfondie sur la posture et la clarification des rôles.</t>
  </si>
  <si>
    <t xml:space="preserve">CDC-051</t>
  </si>
  <si>
    <t xml:space="preserve">2A | L’élu choisit entre plusieurs profils pour répondre aux besoins du mandat. | Décision courte et conséquences.</t>
  </si>
  <si>
    <t xml:space="preserve">CDC-052</t>
  </si>
  <si>
    <t xml:space="preserve">2B | Le collaborateur arrive dans une période d’activité intense. | Organisation des priorités et des premiers repères.</t>
  </si>
  <si>
    <t xml:space="preserve">CDC-053</t>
  </si>
  <si>
    <t xml:space="preserve">3 | Une demande imprécise produit un document qui ne correspond pas aux attentes. | Boucle réflexive approfondie sur la communication.</t>
  </si>
  <si>
    <t xml:space="preserve">CDC-054</t>
  </si>
  <si>
    <t xml:space="preserve">4 | Une délégation suivie de contrôles fréquents conduit au désengagement. | Situation évolutive en deux épisodes ; boucle réflexive sur l’autonomisation.</t>
  </si>
  <si>
    <t xml:space="preserve">CDC-055</t>
  </si>
  <si>
    <t xml:space="preserve">5 | Des incompréhensions et un retard conduisent à un échange difficile. | Boucle réflexive approfondie sur la régulation.</t>
  </si>
  <si>
    <t xml:space="preserve">CDC-056</t>
  </si>
  <si>
    <t xml:space="preserve">4.2 Personnages</t>
  </si>
  <si>
    <t xml:space="preserve">CDC-057</t>
  </si>
  <si>
    <t xml:space="preserve">Trois personnages récurrents permettent de varier les situations et les sensibilités.</t>
  </si>
  <si>
    <t xml:space="preserve">CDC-058</t>
  </si>
  <si>
    <t xml:space="preserve">Ils sont construits comme des personnes complètes, jamais comme des profils culturels ou des catégories administratives.</t>
  </si>
  <si>
    <t xml:space="preserve">CDC-059</t>
  </si>
  <si>
    <t xml:space="preserve">Leur fonction précise, leur ancienneté ou le nombre de collaborateurs de l’élu ne structurent pas le parcours.</t>
  </si>
  <si>
    <t xml:space="preserve">CDC-060</t>
  </si>
  <si>
    <t xml:space="preserve">Aucune situation ne reprend une personne, un dossier ou une donnée réelle identifiable.</t>
  </si>
  <si>
    <t xml:space="preserve">CDC-061</t>
  </si>
  <si>
    <t xml:space="preserve">4.3 Validation institutionnelle</t>
  </si>
  <si>
    <t xml:space="preserve">CDC-062</t>
  </si>
  <si>
    <t xml:space="preserve">Avant la production détaillée, les situations sont présentées à Ingrid Wamytan, secrétaire générale adjointe du Congrès, pour vérifier leur correspondance avec la réalité du Congrès. Marie-Noëlle valide leur justesse managériale, les apports et les formulations expertes.</t>
  </si>
  <si>
    <t xml:space="preserve">CDC-063</t>
  </si>
  <si>
    <t xml:space="preserve">5. Boucles réflexives et changement de pratique</t>
  </si>
  <si>
    <t xml:space="preserve">CDC-064</t>
  </si>
  <si>
    <t xml:space="preserve">Trois boucles réflexives complètes sont réservées aux apprentissages les plus structurants : communication, autonomisation et régulation. Les autres défis mobilisent des activités plus courtes afin de préserver le rythme.</t>
  </si>
  <si>
    <t xml:space="preserve">CDC-065</t>
  </si>
  <si>
    <t xml:space="preserve">Étape | Question ou action de l’élu</t>
  </si>
  <si>
    <t xml:space="preserve">CDC-066</t>
  </si>
  <si>
    <t xml:space="preserve">1. Donner du sens | En quoi cette situation est-elle importante dans l’exercice de mon mandat ?</t>
  </si>
  <si>
    <t xml:space="preserve">CDC-067</t>
  </si>
  <si>
    <t xml:space="preserve">2. Revenir sur ma pratique | Jusqu’à présent, comment ai-je réagi dans ce type de situation ?</t>
  </si>
  <si>
    <t xml:space="preserve">CDC-068</t>
  </si>
  <si>
    <t xml:space="preserve">3. Examiner les effets | Quelles conséquences ma manière de réagir peut-elle produire, en bien et en moins bien ?</t>
  </si>
  <si>
    <t xml:space="preserve">CDC-069</t>
  </si>
  <si>
    <t xml:space="preserve">4. Apprécier ma pratique | À la lumière de ce que je viens de découvrir, comment est-ce que j’apprécie ma manière d’agir ?</t>
  </si>
  <si>
    <t xml:space="preserve">CDC-070</t>
  </si>
  <si>
    <t xml:space="preserve">5. Choisir une évolution | Qu’est-ce que je pourrais faire évoluer concrètement dans ma manière d’agir ?</t>
  </si>
  <si>
    <t xml:space="preserve">S6</t>
  </si>
  <si>
    <t xml:space="preserve">CDC-071</t>
  </si>
  <si>
    <t xml:space="preserve">6. Relier au mandat | Qu’est-ce que cette évolution changera concrètement pour mon mandat ?</t>
  </si>
  <si>
    <t xml:space="preserve">CDC-072</t>
  </si>
  <si>
    <t xml:space="preserve">Progression attendue Je comprends l’enjeu → je regarde ma pratique → j’en examine les conséquences → je l’apprécie → je choisis une évolution → j’identifie ce qu’elle apportera à mon mandat.</t>
  </si>
  <si>
    <t xml:space="preserve">CDC-073</t>
  </si>
  <si>
    <t xml:space="preserve">5.1 Grille d’acquisition</t>
  </si>
  <si>
    <t xml:space="preserve">CDC-074</t>
  </si>
  <si>
    <t xml:space="preserve">Après l’apport, l’élu analyse sa réponse à partir de critères adaptés à la situation. Il choisit pour chacun un niveau de développement :</t>
  </si>
  <si>
    <t xml:space="preserve">CDC-075</t>
  </si>
  <si>
    <t xml:space="preserve">Niveau | Signification</t>
  </si>
  <si>
    <t xml:space="preserve">CDC-076</t>
  </si>
  <si>
    <t xml:space="preserve">Acquis | Le repère apparaît clairement dans ma réponse.</t>
  </si>
  <si>
    <t xml:space="preserve">CDC-077</t>
  </si>
  <si>
    <t xml:space="preserve">En cours d’acquisition | Le repère apparaît en partie et peut encore être renforcé.</t>
  </si>
  <si>
    <t xml:space="preserve">CDC-078</t>
  </si>
  <si>
    <t xml:space="preserve">À développer | Le repère est peu présent dans ma réponse et mérite d’être travaillé.</t>
  </si>
  <si>
    <t xml:space="preserve">CDC-079</t>
  </si>
  <si>
    <t xml:space="preserve">Les critères mobilisés peuvent concerner la clarté, l’autonomie, la qualité relationnelle, les résultats ou des dimensions spécifiques à la situation. La grille ne produit aucun jugement automatique.</t>
  </si>
  <si>
    <t xml:space="preserve">CDC-080</t>
  </si>
  <si>
    <t xml:space="preserve">5.2 Trois simulateurs managériaux</t>
  </si>
  <si>
    <t xml:space="preserve">CDC-081</t>
  </si>
  <si>
    <t xml:space="preserve">Les trois boucles réflexives approfondies prennent la forme de simulateurs interactifs. L’élu choisit une manière d’agir, observe ses conséquences immédiates et différées, puis peut revenir sur sa décision. Le simulateur rend visibles les effets possibles d’une posture sans réduire une situation complexe à une bonne réponse unique.</t>
  </si>
  <si>
    <t xml:space="preserve">CDC-082</t>
  </si>
  <si>
    <t xml:space="preserve">Simulateur | Décisions proposées | Conséquences observées</t>
  </si>
  <si>
    <t xml:space="preserve">CDC-083</t>
  </si>
  <si>
    <t xml:space="preserve">1. Clarifier une demande — séquence 3 | Préciser le résultat, l’échéance, les priorités, la marge d’initiative et le point de suivi. | Compréhension du collaborateur, qualité de la production, capacité à agir et disponibilité de l’élu.</t>
  </si>
  <si>
    <t xml:space="preserve">CDC-084</t>
  </si>
  <si>
    <t xml:space="preserve">2. Déléguer et autonomiser — séquence 4 | Choisir ce qui est délégué, la marge de décision, la fréquence du suivi et la manière de reconnaître la contribution. | Autonomie, engagement, confiance, qualité du résultat et charge de contrôle de l’élu.</t>
  </si>
  <si>
    <t xml:space="preserve">CDC-085</t>
  </si>
  <si>
    <t xml:space="preserve">3. Réguler une difficulté — séquence 5 | Choisir l’ouverture de l’échange, les faits mobilisés, la place de l’écoute, le rappel du cadre et la suite convenue. | Qualité relationnelle, compréhension de la difficulté, responsabilisation et possibilité d’une solution durable.</t>
  </si>
  <si>
    <t xml:space="preserve">CDC-086</t>
  </si>
  <si>
    <t xml:space="preserve">5.3 Jauges et observateurs</t>
  </si>
  <si>
    <t xml:space="preserve">CDC-087</t>
  </si>
  <si>
    <t xml:space="preserve">Les trois simulateurs utilisent un langage visuel commun afin de soutenir la continuité du parcours :</t>
  </si>
  <si>
    <t xml:space="preserve">CDC-088</t>
  </si>
  <si>
    <t xml:space="preserve">quatre jauges principales : clarté, autonomie, qualité relationnelle et résultats ;</t>
  </si>
  <si>
    <t xml:space="preserve">CDC-089</t>
  </si>
  <si>
    <t xml:space="preserve">des observateurs contextuels selon la situation : compréhension, engagement, charge de contrôle, délai ou possibilité de dialogue ;</t>
  </si>
  <si>
    <t xml:space="preserve">CDC-090</t>
  </si>
  <si>
    <t xml:space="preserve">une évolution visible après chaque décision, accompagnée d’une explication qualitative ;</t>
  </si>
  <si>
    <t xml:space="preserve">CDC-091</t>
  </si>
  <si>
    <t xml:space="preserve">des conséquences nuancées : un choix peut améliorer un indicateur tout en fragilisant temporairement un autre ;</t>
  </si>
  <si>
    <t xml:space="preserve">CDC-092</t>
  </si>
  <si>
    <t xml:space="preserve">la possibilité de rejouer et de comparer plusieurs trajectoires, sans compteur ni sanction.</t>
  </si>
  <si>
    <t xml:space="preserve">CDC-093</t>
  </si>
  <si>
    <t xml:space="preserve">Principe de lecture Les jauges ne mesurent pas la valeur managériale de l’élu. Elles représentent les effets possibles de ses choix dans la situation simulée. Elles n’alimentent aucun score et aucune donnée détaillée n’est transmise.</t>
  </si>
  <si>
    <t xml:space="preserve">CDC-094</t>
  </si>
  <si>
    <t xml:space="preserve">5.4 Déroulement commun d’un simulateur</t>
  </si>
  <si>
    <t xml:space="preserve">CDC-095</t>
  </si>
  <si>
    <t xml:space="preserve">Observer la situation et identifier ce qui compte pour le mandat.</t>
  </si>
  <si>
    <t xml:space="preserve">CDC-096</t>
  </si>
  <si>
    <t xml:space="preserve">Choisir ou formuler une première manière d’agir.</t>
  </si>
  <si>
    <t xml:space="preserve">CDC-097</t>
  </si>
  <si>
    <t xml:space="preserve">Observer l’évolution des jauges et les réactions des personnages.</t>
  </si>
  <si>
    <t xml:space="preserve">CDC-098</t>
  </si>
  <si>
    <t xml:space="preserve">Découvrir les conséquences immédiates, puis une conséquence différée.</t>
  </si>
  <si>
    <t xml:space="preserve">CDC-099</t>
  </si>
  <si>
    <t xml:space="preserve">Analyser sa décision avec la grille d’acquisition.</t>
  </si>
  <si>
    <t xml:space="preserve">CDC-100</t>
  </si>
  <si>
    <t xml:space="preserve">Rejouer, ajuster son choix ou reformuler sa réponse.</t>
  </si>
  <si>
    <t xml:space="preserve">CDC-101</t>
  </si>
  <si>
    <t xml:space="preserve">Identifier ce que cette évolution pourrait changer dans l’exercice du mandat.</t>
  </si>
  <si>
    <t xml:space="preserve">CDC-102</t>
  </si>
  <si>
    <t xml:space="preserve">6. Réponses personnelles et confidentialité</t>
  </si>
  <si>
    <t xml:space="preserve">CDC-103</t>
  </si>
  <si>
    <t xml:space="preserve">Les réponses ouvertes sont obligatoires, même sous une forme sommaire.</t>
  </si>
  <si>
    <t xml:space="preserve">CDC-104</t>
  </si>
  <si>
    <t xml:space="preserve">Elles servent uniquement à la réflexion et à la progression personnelle dans le parcours.</t>
  </si>
  <si>
    <t xml:space="preserve">CDC-105</t>
  </si>
  <si>
    <t xml:space="preserve">Elles sont conservées dans le package pour permettre la reprise, sans transmission de leur contenu à l’IFAP ou au Congrès.</t>
  </si>
  <si>
    <t xml:space="preserve">CDC-106</t>
  </si>
  <si>
    <t xml:space="preserve">Elles n’entrent dans aucun score et ne donnent lieu à aucune appréciation automatisée.</t>
  </si>
  <si>
    <t xml:space="preserve">CDC-107</t>
  </si>
  <si>
    <t xml:space="preserve">La règle de non-transmission est expliquée avant la première réponse ouverte.</t>
  </si>
  <si>
    <t xml:space="preserve">CDC-108</t>
  </si>
  <si>
    <t xml:space="preserve">Les critères « à développer », les évolutions choisies et les trois engagements peuvent alimenter la feuille de route personnelle.</t>
  </si>
  <si>
    <t xml:space="preserve">CDC-109</t>
  </si>
  <si>
    <t xml:space="preserve">7. Évaluation formative et complétion</t>
  </si>
  <si>
    <t xml:space="preserve">CDC-110</t>
  </si>
  <si>
    <t xml:space="preserve">7.1 Quiz répartis</t>
  </si>
  <si>
    <t xml:space="preserve">CDC-111</t>
  </si>
  <si>
    <t xml:space="preserve">Le quiz final unique est remplacé par de courts quiz de trois à quatre questions à la fin des cinq premières séquences. Ils valident l’exploration du ou des défis concernés et soutiennent l’apprentissage par l’erreur.</t>
  </si>
  <si>
    <t xml:space="preserve">CDC-112</t>
  </si>
  <si>
    <t xml:space="preserve">Séquence | Volume indicatif | Fonction</t>
  </si>
  <si>
    <t xml:space="preserve">CDC-113</t>
  </si>
  <si>
    <t xml:space="preserve">1 à 5 | 3 à 4 questions par séquence | Vérifier les repères compris, apporter un feedback immédiat et permettre de rejouer.</t>
  </si>
  <si>
    <t xml:space="preserve">CDC-114</t>
  </si>
  <si>
    <t xml:space="preserve">6 | Pas de quiz | Autodiagnostic comparatif et feuille de route.</t>
  </si>
  <si>
    <t xml:space="preserve">CDC-115</t>
  </si>
  <si>
    <t xml:space="preserve">7.2 Règles</t>
  </si>
  <si>
    <t xml:space="preserve">CDC-116</t>
  </si>
  <si>
    <t xml:space="preserve">Aucun seuil de réussite ne conditionne l’accès à la suite.</t>
  </si>
  <si>
    <t xml:space="preserve">CDC-117</t>
  </si>
  <si>
    <t xml:space="preserve">Chaque erreur déclenche une explication pédagogique ; l’élu peut essayer de nouveau sans compteur ni sanction.</t>
  </si>
  <si>
    <t xml:space="preserve">CDC-118</t>
  </si>
  <si>
    <t xml:space="preserve">Le statut « défi exploré » ou « défi relevé » signifie que les activités ont été réalisées et les corrections consultées, sans certifier une maîtrise managériale.</t>
  </si>
  <si>
    <t xml:space="preserve">CDC-119</t>
  </si>
  <si>
    <t xml:space="preserve">La complétion repose sur le parcours intégral des séquences, la réalisation des interactions et la finalisation de la feuille de route.</t>
  </si>
  <si>
    <t xml:space="preserve">CDC-120</t>
  </si>
  <si>
    <t xml:space="preserve">Seuls le statut de complétion et les données agrégées prévues par les règles générales peuvent être exploités ; aucune réponse pédagogique individuelle ne remonte.</t>
  </si>
  <si>
    <t xml:space="preserve">CDC-121</t>
  </si>
  <si>
    <t xml:space="preserve">8. Autodiagnostic et feuille de route</t>
  </si>
  <si>
    <t xml:space="preserve">CDC-122</t>
  </si>
  <si>
    <t xml:space="preserve">L’élu se positionne au début, revient sur sa pratique au cours du parcours et réalise un autodiagnostic comparatif à la fin. L’évolution, la stabilité ou l’absence d’évolution sont accueillies comme des informations utiles, sans score de posture.</t>
  </si>
  <si>
    <t xml:space="preserve">CDC-123</t>
  </si>
  <si>
    <t xml:space="preserve">8.1 Indicateurs transversaux</t>
  </si>
  <si>
    <t xml:space="preserve">CDC-124</t>
  </si>
  <si>
    <t xml:space="preserve">Indicateur | Question directrice</t>
  </si>
  <si>
    <t xml:space="preserve">CDC-125</t>
  </si>
  <si>
    <t xml:space="preserve">Clarté | Dans quelle mesure mes attentes, le cadre et le résultat sont-ils compréhensibles ?</t>
  </si>
  <si>
    <t xml:space="preserve">CDC-126</t>
  </si>
  <si>
    <t xml:space="preserve">Autonomie | Dans quelle mesure ma manière d’agir développe-t-elle la capacité d’action ?</t>
  </si>
  <si>
    <t xml:space="preserve">CDC-127</t>
  </si>
  <si>
    <t xml:space="preserve">Qualité relationnelle | Dans quelle mesure ma posture favorise-t-elle un échange respectueux et constructif ?</t>
  </si>
  <si>
    <t xml:space="preserve">CDC-128</t>
  </si>
  <si>
    <t xml:space="preserve">Résultats | Dans quelle mesure mon intervention permet-elle d’aboutir à une action et à un suivi identifiables ?</t>
  </si>
  <si>
    <t xml:space="preserve">CDC-129</t>
  </si>
  <si>
    <t xml:space="preserve">8.2 Document final</t>
  </si>
  <si>
    <t xml:space="preserve">CDC-130</t>
  </si>
  <si>
    <t xml:space="preserve">Critères que l’élu estime « à développer ».</t>
  </si>
  <si>
    <t xml:space="preserve">CDC-131</t>
  </si>
  <si>
    <t xml:space="preserve">Évolutions envisagées pendant les boucles réflexives.</t>
  </si>
  <si>
    <t xml:space="preserve">CDC-132</t>
  </si>
  <si>
    <t xml:space="preserve">Trois engagements personnels et concrets.</t>
  </si>
  <si>
    <t xml:space="preserve">CDC-133</t>
  </si>
  <si>
    <t xml:space="preserve">Possibilité de relire et modifier les éléments avant téléchargement.</t>
  </si>
  <si>
    <t xml:space="preserve">CDC-134</t>
  </si>
  <si>
    <t xml:space="preserve">Document personnel, sans transmission de son contenu.</t>
  </si>
  <si>
    <t xml:space="preserve">CDC-135</t>
  </si>
  <si>
    <t xml:space="preserve">9. Médiatisation et engagement visuel</t>
  </si>
  <si>
    <t xml:space="preserve">CDC-136</t>
  </si>
  <si>
    <t xml:space="preserve">9.1 Principe</t>
  </si>
  <si>
    <t xml:space="preserve">CDC-137</t>
  </si>
  <si>
    <t xml:space="preserve">L’accroche visuelle est prévue dès la scénarisation. Chaque média soutient une intention pédagogique, une situation ou un questionnement. Il respecte les règles du projet : accessibilité, poids, traçabilité, ancrage calédonien et absence de figure humaine générée par IA.</t>
  </si>
  <si>
    <t xml:space="preserve">CDC-138</t>
  </si>
  <si>
    <t xml:space="preserve">9.2 Entrées de séquence</t>
  </si>
  <si>
    <t xml:space="preserve">CDC-139</t>
  </si>
  <si>
    <t xml:space="preserve">Séquence | Intention visuelle</t>
  </si>
  <si>
    <t xml:space="preserve">CDC-140</t>
  </si>
  <si>
    <t xml:space="preserve">1 | Équilibre entre cadre, autorité, écoute et confiance.</t>
  </si>
  <si>
    <t xml:space="preserve">CDC-141</t>
  </si>
  <si>
    <t xml:space="preserve">2 | Complémentarité des personnes et construction de la coopération.</t>
  </si>
  <si>
    <t xml:space="preserve">CDC-142</t>
  </si>
  <si>
    <t xml:space="preserve">3 | Passage d’une intention implicite à un cap clair et partagé.</t>
  </si>
  <si>
    <t xml:space="preserve">CDC-143</t>
  </si>
  <si>
    <t xml:space="preserve">4 | Passage du contrôle vers une autonomie accompagnée.</t>
  </si>
  <si>
    <t xml:space="preserve">CDC-144</t>
  </si>
  <si>
    <t xml:space="preserve">5 | Tension relationnelle et ouverture d’un dialogue constructif.</t>
  </si>
  <si>
    <t xml:space="preserve">CDC-145</t>
  </si>
  <si>
    <t xml:space="preserve">6 | Prise de recul, choix d’une direction et passage à l’action.</t>
  </si>
  <si>
    <t xml:space="preserve">CDC-146</t>
  </si>
  <si>
    <t xml:space="preserve">9.3 Formats</t>
  </si>
  <si>
    <t xml:space="preserve">CDC-147</t>
  </si>
  <si>
    <t xml:space="preserve">Photographies ou illustrations d’ambiance pour l’accroche, dans le respect des droits.</t>
  </si>
  <si>
    <t xml:space="preserve">CDC-148</t>
  </si>
  <si>
    <t xml:space="preserve">Scènes visuelles pour donner corps aux situations et aux questions ouvertes.</t>
  </si>
  <si>
    <t xml:space="preserve">CDC-149</t>
  </si>
  <si>
    <t xml:space="preserve">Schémas, grilles et comparateurs réalisés en HTML/SVG responsive plutôt qu’en images figées.</t>
  </si>
  <si>
    <t xml:space="preserve">CDC-150</t>
  </si>
  <si>
    <t xml:space="preserve">Une seule production média lourde au maximum par séquence.</t>
  </si>
  <si>
    <t xml:space="preserve">CDC-151</t>
  </si>
  <si>
    <t xml:space="preserve">Texte alternatif et équivalent textuel obligatoires ; aucune information n’est portée par l’image seule.</t>
  </si>
  <si>
    <t xml:space="preserve">CDC-152</t>
  </si>
  <si>
    <t xml:space="preserve">Aucune figure humaine générée par IA. Les références visuelles de Marie-Noëlle servent d’inspiration ; des visuels similaires et juridiquement exploitables sont recherchés ou créés.</t>
  </si>
  <si>
    <t xml:space="preserve">CDC-153</t>
  </si>
  <si>
    <t xml:space="preserve">9.4 Vidéo d’ouverture</t>
  </si>
  <si>
    <t xml:space="preserve">CDC-154</t>
  </si>
  <si>
    <t xml:space="preserve">Une vidéo réelle de Marie-Noëlle, d’environ 1 min 30 à 2 min, est prévue en ouverture pour apporter présence humaine, expertise et sens. Elle présente les enjeux du management dans le mandat, l’esprit du parcours et l’invitation à s’impliquer. Elle est sous-titrée, accompagnée d’une transcription et hébergée hors du package selon les règles médias.</t>
  </si>
  <si>
    <t xml:space="preserve">CDC-155</t>
  </si>
  <si>
    <t xml:space="preserve">10. Références scientifiques et professionnelles</t>
  </si>
  <si>
    <t xml:space="preserve">CDC-156</t>
  </si>
  <si>
    <t xml:space="preserve">Chaque séquence rend sa référence visible au moment utile. Elle n’est ni cachée dans un volet discret ni repoussée exclusivement en fin de parcours.</t>
  </si>
  <si>
    <t xml:space="preserve">CDC-157</t>
  </si>
  <si>
    <t xml:space="preserve">Une courte phrase vulgarise l’idée ou l’approche mobilisée.</t>
  </si>
  <si>
    <t xml:space="preserve">CDC-158</t>
  </si>
  <si>
    <t xml:space="preserve">L’auteur, la recherche ou la source sont identifiables directement.</t>
  </si>
  <si>
    <t xml:space="preserve">CDC-159</t>
  </si>
  <si>
    <t xml:space="preserve">Un lien permet d’accéder à la référence complète pour approfondir.</t>
  </si>
  <si>
    <t xml:space="preserve">CDC-160</t>
  </si>
  <si>
    <t xml:space="preserve">Le dispositif reste lisible pour l’élu qui ne souhaite pas approfondir, tout en répondant à celui qui a besoin d’identifier le fondement de l’enseignement.</t>
  </si>
  <si>
    <t xml:space="preserve">CDC-161</t>
  </si>
  <si>
    <t xml:space="preserve">11. Exigences techniques et d’accessibilité</t>
  </si>
  <si>
    <t xml:space="preserve">CDC-162</t>
  </si>
  <si>
    <t xml:space="preserve">Package conforme au standard retenu pour les modules des élus et au noyau technique gelé pendant la production.</t>
  </si>
  <si>
    <t xml:space="preserve">CDC-163</t>
  </si>
  <si>
    <t xml:space="preserve">Reprise exacte de la position et conservation des données utiles à la réflexion personnelle dans les limites de stockage du standard.</t>
  </si>
  <si>
    <t xml:space="preserve">CDC-164</t>
  </si>
  <si>
    <t xml:space="preserve">Aucune utilisation de localStorage ou sessionStorage ; les données sont gérées par le mécanisme de reprise du package.</t>
  </si>
  <si>
    <t xml:space="preserve">CDC-165</t>
  </si>
  <si>
    <t xml:space="preserve">Navigation au clavier, contrastes suffisants, focus visible, textes alternatifs, sous-titres et transcription.</t>
  </si>
  <si>
    <t xml:space="preserve">CDC-166</t>
  </si>
  <si>
    <t xml:space="preserve">Interactions utilisables sur mobile et sans glisser-déposer natif.</t>
  </si>
  <si>
    <t xml:space="preserve">CDC-167</t>
  </si>
  <si>
    <t xml:space="preserve">Test de reprise, test mobile réel et test hors wifi avant livraison.</t>
  </si>
  <si>
    <t xml:space="preserve">CDC-168</t>
  </si>
  <si>
    <t xml:space="preserve">Les médias humains et documents lourds sont hébergés hors package ; les images stables intégrées sont optimisées.</t>
  </si>
  <si>
    <t xml:space="preserve">CDC-169</t>
  </si>
  <si>
    <t xml:space="preserve">12. Gouvernance et validation</t>
  </si>
  <si>
    <t xml:space="preserve">CDC-170</t>
  </si>
  <si>
    <t xml:space="preserve">Objet | Validation attendue</t>
  </si>
  <si>
    <t xml:space="preserve">CDC-171</t>
  </si>
  <si>
    <t xml:space="preserve">Contenus, formulations et références | Marie-Noëlle Lopez</t>
  </si>
  <si>
    <t xml:space="preserve">CDC-172</t>
  </si>
  <si>
    <t xml:space="preserve">Réalisme des situations au Congrès | Ingrid Wamytan, secrétaire générale adjointe du Congrès</t>
  </si>
  <si>
    <t xml:space="preserve">CDC-173</t>
  </si>
  <si>
    <t xml:space="preserve">Scénario, UX pédagogique et production | IFAP</t>
  </si>
  <si>
    <t xml:space="preserve">CDC-174</t>
  </si>
  <si>
    <t xml:space="preserve">Règles techniques et intégration | Référents techniques du dispositif</t>
  </si>
  <si>
    <t xml:space="preserve">CDC-175</t>
  </si>
  <si>
    <t xml:space="preserve">Arbitrages structurants | Inscription au journal des arbitrages du projet avant gel de production</t>
  </si>
  <si>
    <t xml:space="preserve">CDC-176</t>
  </si>
  <si>
    <t xml:space="preserve">12.1 Étapes suivantes</t>
  </si>
  <si>
    <t xml:space="preserve">CDC-177</t>
  </si>
  <si>
    <t xml:space="preserve">Transmettre la note de validation des situations à Ingrid Wamytan.</t>
  </si>
  <si>
    <t xml:space="preserve">CDC-178</t>
  </si>
  <si>
    <t xml:space="preserve">Rédiger le scénario pédagogique détaillé des six séquences et des huit défis.</t>
  </si>
  <si>
    <t xml:space="preserve">CDC-179</t>
  </si>
  <si>
    <t xml:space="preserve">Identifier visuellement les formulations reprises et les adaptations proposées à Marie-Noëlle.</t>
  </si>
  <si>
    <t xml:space="preserve">CDC-180</t>
  </si>
  <si>
    <t xml:space="preserve">Établir la liste et les fiches médias sur la structure définitive.</t>
  </si>
  <si>
    <t xml:space="preserve">CDC-181</t>
  </si>
  <si>
    <t xml:space="preserve">Valider le scénario et les médias avant assemblage du prototype.</t>
  </si>
  <si>
    <t xml:space="preserve">CDC-182</t>
  </si>
  <si>
    <t xml:space="preserve">Produire, tester et corriger le package avant mise en ligne.</t>
  </si>
  <si>
    <t xml:space="preserve">CDC-183</t>
  </si>
  <si>
    <t xml:space="preserve">13. Critères d’acceptation du futur produit</t>
  </si>
  <si>
    <t xml:space="preserve">CDC-184</t>
  </si>
  <si>
    <t xml:space="preserve">☐ Les huit défis sont visibles dès l’entrée et rattachés aux six séquences.</t>
  </si>
  <si>
    <t xml:space="preserve">CDC-185</t>
  </si>
  <si>
    <t xml:space="preserve">☐ Chaque séquence explicite l’utilité de l’apprentissage pour l’exercice du mandat.</t>
  </si>
  <si>
    <t xml:space="preserve">CDC-186</t>
  </si>
  <si>
    <t xml:space="preserve">☐ Les trois boucles réflexives suivent la progression validée et utilisent une grille d’acquisition.</t>
  </si>
  <si>
    <t xml:space="preserve">CDC-187</t>
  </si>
  <si>
    <t xml:space="preserve">☐ Les réponses ouvertes sont obligatoires, conservées pour la reprise et jamais transmises.</t>
  </si>
  <si>
    <t xml:space="preserve">CDC-188</t>
  </si>
  <si>
    <t xml:space="preserve">☐ Les trois simulateurs rendent visibles les conséquences des choix au moyen de jauges et d’observateurs, sans score de posture.</t>
  </si>
  <si>
    <t xml:space="preserve">CDC-189</t>
  </si>
  <si>
    <t xml:space="preserve">☐ Les quiz formatifs sont répartis, rejouables et non sanctionnants.</t>
  </si>
  <si>
    <t xml:space="preserve">CDC-190</t>
  </si>
  <si>
    <t xml:space="preserve">☐ La complétion dépend du parcours réalisé, pas d’un score minimal.</t>
  </si>
  <si>
    <t xml:space="preserve">CDC-191</t>
  </si>
  <si>
    <t xml:space="preserve">☐ La feuille de route reprend les éléments personnels validés et reste modifiable avant téléchargement.</t>
  </si>
  <si>
    <t xml:space="preserve">CDC-192</t>
  </si>
  <si>
    <t xml:space="preserve">☐ Les situations ont été validées pour leur réalisme et leur justesse managériale.</t>
  </si>
  <si>
    <t xml:space="preserve">CDC-193</t>
  </si>
  <si>
    <t xml:space="preserve">☐ Chaque séquence possède une accroche visuelle signifiante et accessible.</t>
  </si>
  <si>
    <t xml:space="preserve">CDC-194</t>
  </si>
  <si>
    <t xml:space="preserve">☐ La vidéo d’ouverture est sous-titrée et transcrite.</t>
  </si>
  <si>
    <t xml:space="preserve">CDC-195</t>
  </si>
  <si>
    <t xml:space="preserve">☐ Les références sont visibles au moment utile et accessibles pour approfondissement.</t>
  </si>
  <si>
    <t xml:space="preserve">CDC-196</t>
  </si>
  <si>
    <t xml:space="preserve">☐ Le module est utilisable au clavier, sur mobile et après reprise d’une session interrompue.</t>
  </si>
  <si>
    <t xml:space="preserve">CDC-197</t>
  </si>
  <si>
    <t xml:space="preserve">14. Documents de référence</t>
  </si>
  <si>
    <t xml:space="preserve">CDC-198</t>
  </si>
  <si>
    <t xml:space="preserve">Fiche pédagogique ELU_POLP58 et proposition d’adaptation de Marie-Noëlle Lopez.</t>
  </si>
  <si>
    <t xml:space="preserve">CDC-199</t>
  </si>
  <si>
    <t xml:space="preserve">Commande du Congrès — note DRH du 26 mai 2026.</t>
  </si>
  <si>
    <t xml:space="preserve">CDC-200</t>
  </si>
  <si>
    <t xml:space="preserve">Guide de production pédagogique IFAP.</t>
  </si>
  <si>
    <t xml:space="preserve">CDC-201</t>
  </si>
  <si>
    <t xml:space="preserve">Règles de production des modules e-learning des élus.</t>
  </si>
  <si>
    <t xml:space="preserve">CDC-202</t>
  </si>
  <si>
    <t xml:space="preserve">Règles médias des modules e-learning des élus.</t>
  </si>
  <si>
    <t xml:space="preserve">CDC-203</t>
  </si>
  <si>
    <t xml:space="preserve">Gabarit de spécification et noyau technique du dispositif.</t>
  </si>
  <si>
    <t xml:space="preserve">CDC-204</t>
  </si>
  <si>
    <t xml:space="preserve">Charte graphique des modules des élus et règles d’usage du logo du Congrès.</t>
  </si>
  <si>
    <t xml:space="preserve">Contrôles de couverture</t>
  </si>
  <si>
    <t xml:space="preserve">Contrôles automatiques à exécuter avant le scénario détaillé puis avant chaque prototype.</t>
  </si>
  <si>
    <t xml:space="preserve">Contrôle</t>
  </si>
  <si>
    <t xml:space="preserve">Résultat</t>
  </si>
  <si>
    <t xml:space="preserve">Attendu</t>
  </si>
  <si>
    <t xml:space="preserve">Action</t>
  </si>
  <si>
    <t xml:space="preserve">Nombre de documents sources</t>
  </si>
  <si>
    <t xml:space="preserve">Vérifier l’inventaire</t>
  </si>
  <si>
    <t xml:space="preserve">Nombre de blocs source</t>
  </si>
  <si>
    <t xml:space="preserve">Vérifier l’extraction</t>
  </si>
  <si>
    <t xml:space="preserve">Blocs sans séquence cible</t>
  </si>
  <si>
    <t xml:space="preserve">Affecter une cible</t>
  </si>
  <si>
    <t xml:space="preserve">Blocs sans transformation</t>
  </si>
  <si>
    <t xml:space="preserve">Définir un traitement</t>
  </si>
  <si>
    <t xml:space="preserve">Blocs nécessitant une adaptation obligatoire</t>
  </si>
  <si>
    <t xml:space="preserve">Information</t>
  </si>
  <si>
    <t xml:space="preserve">—</t>
  </si>
  <si>
    <t xml:space="preserve">À valider</t>
  </si>
  <si>
    <t xml:space="preserve">Tracer les arbitrages</t>
  </si>
  <si>
    <t xml:space="preserve">Exigences CDC tracées</t>
  </si>
  <si>
    <t xml:space="preserve">Vérifier le cahier des charges</t>
  </si>
  <si>
    <t xml:space="preserve">Règles de transformation à appliquer au scénario détaillé</t>
  </si>
  <si>
    <t xml:space="preserve">1</t>
  </si>
  <si>
    <t xml:space="preserve">Intégrer d’abord l’intégralité du corpus au mot près ; élaguer seulement après validation explicite.</t>
  </si>
  <si>
    <t xml:space="preserve">2</t>
  </si>
  <si>
    <t xml:space="preserve">Conserver les intitulés techniques et les formulations expertes ; toute adaptation significative reste visible.</t>
  </si>
  <si>
    <t xml:space="preserve">3</t>
  </si>
  <si>
    <t xml:space="preserve">Utiliser les simulateurs uniquement lorsqu’ils servent une décision, une conséquence et une boucle réflexive complète.</t>
  </si>
  <si>
    <t xml:space="preserve">4</t>
  </si>
  <si>
    <t xml:space="preserve">Traiter les huit défis ; les priorités personnelles ne réduisent jamais le parcours.</t>
  </si>
  <si>
    <t xml:space="preserve">Rendre le point de départ visible à la fin et produire une feuille de route exploitable.</t>
  </si>
  <si>
    <t xml:space="preserve">6</t>
  </si>
  <si>
    <t xml:space="preserve">Enrichir les cas et les personnages sans inventer d’affirmation professionnelle non validée.</t>
  </si>
  <si>
    <t xml:space="preserve">Couverture recalculée sur la version réellement livrée — candidate UX18I-N (MGT-55)</t>
  </si>
  <si>
    <t xml:space="preserve">Rapprochement automatique bloc par bloc avec le texte rendu des 59 écrans, les contenus dynamiques (JS) et les 6 fiches PDF. Méthode : feuille 9_Méthode.</t>
  </si>
  <si>
    <t xml:space="preserve">Module</t>
  </si>
  <si>
    <t xml:space="preserve">Fonction</t>
  </si>
  <si>
    <t xml:space="preserve">Statut dans la version livrée</t>
  </si>
  <si>
    <t xml:space="preserve">Similarité (0–1)</t>
  </si>
  <si>
    <t xml:space="preserve">Localisation dans le module</t>
  </si>
  <si>
    <t xml:space="preserve">Justification / exigence</t>
  </si>
  <si>
    <t xml:space="preserve">Validation IFAP / Marie-Noëlle</t>
  </si>
  <si>
    <t xml:space="preserve">Conservé au mot près</t>
  </si>
  <si>
    <t xml:space="preserve">PDF ecarts</t>
  </si>
  <si>
    <t xml:space="preserve">écran g-pre</t>
  </si>
  <si>
    <t xml:space="preserve">Non affiché — conception</t>
  </si>
  <si>
    <t xml:space="preserve">Spécification ; non destinée à l’écran</t>
  </si>
  <si>
    <t xml:space="preserve">écran mod-s1-02</t>
  </si>
  <si>
    <t xml:space="preserve">Conservé avec adaptation</t>
  </si>
  <si>
    <t xml:space="preserve">Modifié / arbitré (CDC)</t>
  </si>
  <si>
    <t xml:space="preserve">MGT-10 — intitulé remplacé par l’accordéon « Source »</t>
  </si>
  <si>
    <t xml:space="preserve">JS (contenu dynamique)</t>
  </si>
  <si>
    <t xml:space="preserve">Consigne de conception</t>
  </si>
  <si>
    <t xml:space="preserve">Consigne d’interface, réalisée par un champ de saisie</t>
  </si>
  <si>
    <t xml:space="preserve">Structure fusionnée</t>
  </si>
  <si>
    <t xml:space="preserve">Intitulé absorbé par la grammaire des 6 repères</t>
  </si>
  <si>
    <t xml:space="preserve">écran g-contrat</t>
  </si>
  <si>
    <t xml:space="preserve">MGT-25/28/45/49 — instantané ou petit bilan supprimé (modèle commun de clôture)</t>
  </si>
  <si>
    <t xml:space="preserve">écran mod-s1-03</t>
  </si>
  <si>
    <t xml:space="preserve">écran mod-s1-01b</t>
  </si>
  <si>
    <t xml:space="preserve">Intitulé absorbé (écran « Que feriez-vous dans cette situation ? »)</t>
  </si>
  <si>
    <t xml:space="preserve">écran mod-s1-04c</t>
  </si>
  <si>
    <t xml:space="preserve">écran mod-s4-06</t>
  </si>
  <si>
    <t xml:space="preserve">écran mod-s3-02b</t>
  </si>
  <si>
    <t xml:space="preserve">Allègement (arbitrage IFAP, lot L) : écran « On vérifie dans la vraie vie » de S1 retiré</t>
  </si>
  <si>
    <t xml:space="preserve">écran mod-s2-03b</t>
  </si>
  <si>
    <t xml:space="preserve">Adaptation obligatoire (CDC)</t>
  </si>
  <si>
    <t xml:space="preserve">Règle source contredite par le CDC (quiz noté, déblocage…)</t>
  </si>
  <si>
    <t xml:space="preserve">écran mod-s1-06</t>
  </si>
  <si>
    <t xml:space="preserve">écran mod-s2-00</t>
  </si>
  <si>
    <t xml:space="preserve">écran mod-s2-04a</t>
  </si>
  <si>
    <t xml:space="preserve">écran mod-s2-04b</t>
  </si>
  <si>
    <t xml:space="preserve">écran mod-s2-06</t>
  </si>
  <si>
    <t xml:space="preserve">MGT-47/53 — « Repère du corpus » retiré de l’interface</t>
  </si>
  <si>
    <t xml:space="preserve">écran mod-s4-05c</t>
  </si>
  <si>
    <t xml:space="preserve">écran mod-s4-05d</t>
  </si>
  <si>
    <t xml:space="preserve">Architecture validée — transition liée à l’ordre des modules du support, non applicable à l’ordre des séquences</t>
  </si>
  <si>
    <t xml:space="preserve">écran mod-s3-04c</t>
  </si>
  <si>
    <t xml:space="preserve">écran mod-s3-04</t>
  </si>
  <si>
    <t xml:space="preserve">écran mod-s5-06</t>
  </si>
  <si>
    <t xml:space="preserve">écran mod-s3-05</t>
  </si>
  <si>
    <t xml:space="preserve">écran mod-s5-05c</t>
  </si>
  <si>
    <t xml:space="preserve">écran mod-s5-02b</t>
  </si>
  <si>
    <t xml:space="preserve">écran mod-s1-01d0</t>
  </si>
  <si>
    <t xml:space="preserve">MGT-12 — formulation cible du CDC</t>
  </si>
  <si>
    <t xml:space="preserve">écran g-post</t>
  </si>
  <si>
    <t xml:space="preserve">écran g-fin</t>
  </si>
  <si>
    <t xml:space="preserve">PDF MGT_FICHE_06_Mots_qui_piquent_mots_qui_soutiennent</t>
  </si>
  <si>
    <t xml:space="preserve">écran mod-s4-04</t>
  </si>
  <si>
    <t xml:space="preserve">écran mod-s5-05b</t>
  </si>
  <si>
    <t xml:space="preserve">Synthèse de couverture — version livrée UX18I-N</t>
  </si>
  <si>
    <t xml:space="preserve">Les valeurs sont calculées par formules à partir de la feuille 6 : elles se mettent à jour si un statut est corrigé.</t>
  </si>
  <si>
    <t xml:space="preserve">Condensé / transformé — à vérifier</t>
  </si>
  <si>
    <t xml:space="preserve">Non retrouvé — à réintégrer</t>
  </si>
  <si>
    <t xml:space="preserve">Blocs significatifs</t>
  </si>
  <si>
    <t xml:space="preserve">Couverture expliquée (%)</t>
  </si>
  <si>
    <t xml:space="preserve">Conservé (mot + adaptation) (%)</t>
  </si>
  <si>
    <t xml:space="preserve">TOTAL</t>
  </si>
  <si>
    <t xml:space="preserve">Blocs présents sous une forme condensée ou transformée — lecture humaine recommandée</t>
  </si>
  <si>
    <t xml:space="preserve">Plus aucun bloc significatif n’est absent : ces blocs sont présents, mais avec un écart de formulation à confirmer.</t>
  </si>
  <si>
    <t xml:space="preserve">Similarité</t>
  </si>
  <si>
    <t xml:space="preserve">Décision</t>
  </si>
  <si>
    <t xml:space="preserve">Aucun bloc : tous les blocs significatifs sont conservés ou arbitrés.</t>
  </si>
  <si>
    <t xml:space="preserve">Méthode de recalcul (MGT-55)</t>
  </si>
  <si>
    <t xml:space="preserve">1. Texte du module extrait de la version livrée : texte rendu de chaque écran (69), chaînes des contenus dynamiques (JS), texte des 6 fiches PDF. L’écran retiré mod-s1-04b, masqué, est exclu.</t>
  </si>
  <si>
    <t xml:space="preserve">2. Pour chaque bloc, le texte source est normalisé (casse, apostrophes, ponctuation) ; les marqueurs de maquette sont neutralisés : « a) b) c) », « (bonne réponse) », « (Champ de réponse libre) », numérotation, libellés « Objectif — », « Concept — »…</t>
  </si>
  <si>
    <t xml:space="preserve">3. Similarité = part des triplets de mots du bloc retrouvés dans un même emplacement du module (paires pour les blocs de 2–3 mots). On retient le meilleur emplacement.</t>
  </si>
  <si>
    <t xml:space="preserve">4. Seuils : ≥ 0,85 conservé au mot près ; 0,55–0,85 conservé avec adaptation ; 0,30–0,55 condensé / transformé — à vérifier par lecture humaine.</t>
  </si>
  <si>
    <t xml:space="preserve">5. Sous 0,30 : statut explicatif si le bloc relève d’un arbitrage CDC (instantanés, petits bilans, « Repère du corpus », intitulé « Les références », MGT-12), d’une métadonnée de conception (fiche signalétique, séquençage, scripts vidéo, infos internes), d’un intitulé de structure absorbé par les 6 repères, ou d’une « Adaptation obligatoire » prévue par la matrice ; sinon « Non retrouvé — à réintégrer ».</t>
  </si>
  <si>
    <t xml:space="preserve">6. Limite : une reformulation fidèle mais lexicalement éloignée peut être classée « non retrouvée ». La colonne Validation permet de corriger le statut ; la synthèse 7 se recalcule.</t>
  </si>
  <si>
    <t xml:space="preserve">7. Les feuilles 0 à 5 de la matrice d’origine sont inchangées.</t>
  </si>
</sst>
</file>

<file path=xl/styles.xml><?xml version="1.0" encoding="utf-8"?>
<styleSheet xmlns="http://schemas.openxmlformats.org/spreadsheetml/2006/main">
  <numFmts count="3">
    <numFmt numFmtId="164" formatCode="General"/>
    <numFmt numFmtId="165" formatCode="General"/>
    <numFmt numFmtId="166" formatCode="0.0%"/>
  </numFmts>
  <fonts count="17">
    <font>
      <sz val="10"/>
      <name val="Arial"/>
      <family val="2"/>
    </font>
    <font>
      <sz val="10"/>
      <name val="Arial"/>
      <family val="0"/>
    </font>
    <font>
      <sz val="10"/>
      <name val="Arial"/>
      <family val="0"/>
    </font>
    <font>
      <sz val="10"/>
      <name val="Arial"/>
      <family val="0"/>
    </font>
    <font>
      <sz val="11"/>
      <name val="Calibri"/>
      <family val="0"/>
      <charset val="1"/>
    </font>
    <font>
      <b val="true"/>
      <sz val="18"/>
      <color rgb="FFFFFFFF"/>
      <name val="Calibri"/>
      <family val="0"/>
      <charset val="1"/>
    </font>
    <font>
      <i val="true"/>
      <sz val="10"/>
      <color rgb="FF22313B"/>
      <name val="Calibri"/>
      <family val="0"/>
      <charset val="1"/>
    </font>
    <font>
      <b val="true"/>
      <sz val="11"/>
      <color rgb="FFFFFFFF"/>
      <name val="Calibri"/>
      <family val="0"/>
      <charset val="1"/>
    </font>
    <font>
      <b val="true"/>
      <sz val="11"/>
      <name val="Calibri"/>
      <family val="0"/>
      <charset val="1"/>
    </font>
    <font>
      <sz val="11"/>
      <color rgb="FF22313B"/>
      <name val="Calibri"/>
      <family val="0"/>
      <charset val="1"/>
    </font>
    <font>
      <b val="true"/>
      <sz val="11"/>
      <color rgb="FF203647"/>
      <name val="Calibri"/>
      <family val="0"/>
      <charset val="1"/>
    </font>
    <font>
      <b val="true"/>
      <sz val="13"/>
      <color rgb="FF1F2A44"/>
      <name val="Arial"/>
      <family val="0"/>
      <charset val="1"/>
    </font>
    <font>
      <i val="true"/>
      <sz val="9"/>
      <name val="Arial"/>
      <family val="0"/>
      <charset val="1"/>
    </font>
    <font>
      <b val="true"/>
      <sz val="10"/>
      <color rgb="FFFFFFFF"/>
      <name val="Arial"/>
      <family val="0"/>
      <charset val="1"/>
    </font>
    <font>
      <sz val="9"/>
      <name val="Arial"/>
      <family val="0"/>
      <charset val="1"/>
    </font>
    <font>
      <sz val="10"/>
      <name val="Arial"/>
      <family val="0"/>
      <charset val="1"/>
    </font>
    <font>
      <b val="true"/>
      <sz val="10"/>
      <name val="Arial"/>
      <family val="0"/>
      <charset val="1"/>
    </font>
  </fonts>
  <fills count="8">
    <fill>
      <patternFill patternType="none"/>
    </fill>
    <fill>
      <patternFill patternType="gray125"/>
    </fill>
    <fill>
      <patternFill patternType="solid">
        <fgColor rgb="FF203647"/>
        <bgColor rgb="FF22313B"/>
      </patternFill>
    </fill>
    <fill>
      <patternFill patternType="solid">
        <fgColor rgb="FFEAF1F5"/>
        <bgColor rgb="FFEEEEEE"/>
      </patternFill>
    </fill>
    <fill>
      <patternFill patternType="solid">
        <fgColor rgb="FF2D5D7B"/>
        <bgColor rgb="FF1C5B36"/>
      </patternFill>
    </fill>
    <fill>
      <patternFill patternType="solid">
        <fgColor rgb="FFF7F3EA"/>
        <bgColor rgb="FFEEEEEE"/>
      </patternFill>
    </fill>
    <fill>
      <patternFill patternType="solid">
        <fgColor rgb="FFF4B942"/>
        <bgColor rgb="FFFF9900"/>
      </patternFill>
    </fill>
    <fill>
      <patternFill patternType="solid">
        <fgColor rgb="FF1F2A44"/>
        <bgColor rgb="FF22313B"/>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center" textRotation="0" wrapText="true" indent="0" shrinkToFit="false"/>
      <protection locked="true" hidden="false"/>
    </xf>
    <xf numFmtId="164" fontId="6" fillId="3" borderId="0" xfId="20" applyFont="true" applyBorder="true" applyAlignment="true" applyProtection="false">
      <alignment horizontal="general" vertical="center" textRotation="0" wrapText="true" indent="0" shrinkToFit="false"/>
      <protection locked="true" hidden="false"/>
    </xf>
    <xf numFmtId="164" fontId="4" fillId="0" borderId="0" xfId="20" applyFont="false" applyBorder="false" applyAlignment="true" applyProtection="false">
      <alignment horizontal="general" vertical="bottom" textRotation="0" wrapText="true" indent="0" shrinkToFit="false"/>
      <protection locked="true" hidden="false"/>
    </xf>
    <xf numFmtId="164" fontId="7" fillId="4" borderId="0" xfId="20" applyFont="true" applyBorder="true" applyAlignment="true" applyProtection="false">
      <alignment horizontal="general" vertical="center" textRotation="0" wrapText="true" indent="0" shrinkToFit="false"/>
      <protection locked="true" hidden="false"/>
    </xf>
    <xf numFmtId="164" fontId="8" fillId="0" borderId="0" xfId="20" applyFont="true" applyBorder="true" applyAlignment="true" applyProtection="false">
      <alignment horizontal="general" vertical="bottom" textRotation="0" wrapText="true" indent="0" shrinkToFit="false"/>
      <protection locked="true" hidden="false"/>
    </xf>
    <xf numFmtId="164" fontId="4" fillId="0" borderId="0" xfId="20" applyFont="false" applyBorder="true" applyAlignment="true" applyProtection="false">
      <alignment horizontal="general" vertical="bottom" textRotation="0" wrapText="true" indent="0" shrinkToFit="false"/>
      <protection locked="true" hidden="false"/>
    </xf>
    <xf numFmtId="164" fontId="9" fillId="5" borderId="0" xfId="20" applyFont="true" applyBorder="true" applyAlignment="true" applyProtection="false">
      <alignment horizontal="general" vertical="top" textRotation="0" wrapText="true" indent="0" shrinkToFit="false"/>
      <protection locked="true" hidden="false"/>
    </xf>
    <xf numFmtId="164" fontId="5" fillId="2" borderId="0" xfId="20" applyFont="true" applyBorder="true" applyAlignment="true" applyProtection="false">
      <alignment horizontal="general" vertical="center"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4" fontId="4" fillId="0" borderId="0" xfId="20" applyFont="true" applyBorder="false" applyAlignment="true" applyProtection="false">
      <alignment horizontal="general" vertical="top" textRotation="0" wrapText="tru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10" fillId="6" borderId="0" xfId="20" applyFont="true" applyBorder="true" applyAlignment="true" applyProtection="false">
      <alignment horizontal="center" vertical="bottom" textRotation="0" wrapText="true" indent="0" shrinkToFit="false"/>
      <protection locked="true" hidden="false"/>
    </xf>
    <xf numFmtId="164" fontId="11" fillId="0" borderId="0" xfId="20" applyFont="true" applyBorder="false" applyAlignment="false" applyProtection="false">
      <alignment horizontal="general" vertical="bottom" textRotation="0" wrapText="false" indent="0" shrinkToFit="false"/>
      <protection locked="true" hidden="false"/>
    </xf>
    <xf numFmtId="164" fontId="12" fillId="0" borderId="0" xfId="20" applyFont="true" applyBorder="false" applyAlignment="false" applyProtection="false">
      <alignment horizontal="general" vertical="bottom" textRotation="0" wrapText="false" indent="0" shrinkToFit="false"/>
      <protection locked="true" hidden="false"/>
    </xf>
    <xf numFmtId="164" fontId="13" fillId="7" borderId="1" xfId="20" applyFont="true" applyBorder="true" applyAlignment="true" applyProtection="false">
      <alignment horizontal="general" vertical="center" textRotation="0" wrapText="true" indent="0" shrinkToFit="false"/>
      <protection locked="true" hidden="false"/>
    </xf>
    <xf numFmtId="164" fontId="14" fillId="0" borderId="1" xfId="20" applyFont="true" applyBorder="true" applyAlignment="true" applyProtection="false">
      <alignment horizontal="general" vertical="top" textRotation="0" wrapText="false" indent="0" shrinkToFit="false"/>
      <protection locked="true" hidden="false"/>
    </xf>
    <xf numFmtId="164" fontId="14" fillId="0" borderId="1" xfId="20" applyFont="true" applyBorder="true" applyAlignment="true" applyProtection="false">
      <alignment horizontal="general" vertical="top" textRotation="0" wrapText="true" indent="0" shrinkToFit="false"/>
      <protection locked="true" hidden="false"/>
    </xf>
    <xf numFmtId="164" fontId="15" fillId="0" borderId="1" xfId="20" applyFont="true" applyBorder="true" applyAlignment="false" applyProtection="false">
      <alignment horizontal="general" vertical="bottom" textRotation="0" wrapText="false" indent="0" shrinkToFit="false"/>
      <protection locked="true" hidden="false"/>
    </xf>
    <xf numFmtId="165" fontId="16" fillId="0" borderId="1" xfId="20" applyFont="true" applyBorder="true" applyAlignment="false" applyProtection="false">
      <alignment horizontal="general" vertical="bottom" textRotation="0" wrapText="false" indent="0" shrinkToFit="false"/>
      <protection locked="true" hidden="false"/>
    </xf>
    <xf numFmtId="166" fontId="4" fillId="0" borderId="1" xfId="20" applyFont="false" applyBorder="true" applyAlignment="false" applyProtection="false">
      <alignment horizontal="general" vertical="bottom" textRotation="0" wrapText="false" indent="0" shrinkToFit="false"/>
      <protection locked="true" hidden="false"/>
    </xf>
    <xf numFmtId="164" fontId="16" fillId="0" borderId="0" xfId="20" applyFont="true" applyBorder="false" applyAlignment="false" applyProtection="false">
      <alignment horizontal="general" vertical="bottom" textRotation="0" wrapText="false" indent="0" shrinkToFit="false"/>
      <protection locked="true" hidden="false"/>
    </xf>
    <xf numFmtId="164" fontId="16" fillId="0" borderId="0" xfId="20" applyFont="true" applyBorder="false" applyAlignment="true" applyProtection="false">
      <alignment horizontal="general" vertical="top" textRotation="0" wrapText="true" indent="0" shrinkToFit="false"/>
      <protection locked="true" hidden="false"/>
    </xf>
    <xf numFmtId="164" fontId="15" fillId="0" borderId="0" xfId="20" applyFont="tru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4">
    <dxf>
      <fill>
        <patternFill patternType="solid">
          <fgColor rgb="FF2D5D7B"/>
          <bgColor rgb="FF000000"/>
        </patternFill>
      </fill>
    </dxf>
    <dxf>
      <fill>
        <patternFill patternType="solid">
          <bgColor rgb="FF000000"/>
        </patternFill>
      </fill>
    </dxf>
    <dxf>
      <fill>
        <patternFill patternType="solid">
          <fgColor rgb="FFFFFFFF"/>
          <bgColor rgb="FF000000"/>
        </patternFill>
      </fill>
    </dxf>
    <dxf>
      <fill>
        <patternFill patternType="solid">
          <fgColor rgb="FFDDEFE4"/>
          <bgColor rgb="FF000000"/>
        </patternFill>
      </fill>
    </dxf>
    <dxf>
      <fill>
        <patternFill patternType="solid">
          <fgColor rgb="FF1C5B36"/>
          <bgColor rgb="FF000000"/>
        </patternFill>
      </fill>
    </dxf>
    <dxf>
      <font>
        <b val="1"/>
        <color rgb="FF1C5B36"/>
      </font>
      <fill>
        <patternFill>
          <bgColor rgb="FFDDEFE4"/>
        </patternFill>
      </fill>
    </dxf>
    <dxf>
      <fill>
        <patternFill patternType="solid">
          <fgColor rgb="FFF7DEDE"/>
          <bgColor rgb="FF000000"/>
        </patternFill>
      </fill>
    </dxf>
    <dxf>
      <fill>
        <patternFill patternType="solid">
          <fgColor rgb="FFFFF1CC"/>
          <bgColor rgb="FF000000"/>
        </patternFill>
      </fill>
    </dxf>
    <dxf>
      <fill>
        <patternFill patternType="solid">
          <fgColor rgb="FF745500"/>
          <bgColor rgb="FF000000"/>
        </patternFill>
      </fill>
    </dxf>
    <dxf>
      <fill>
        <patternFill patternType="solid">
          <fgColor rgb="FF7B2222"/>
          <bgColor rgb="FF000000"/>
        </patternFill>
      </fill>
    </dxf>
    <dxf>
      <font>
        <b val="1"/>
        <color rgb="FF7B2222"/>
      </font>
      <fill>
        <patternFill>
          <bgColor rgb="FFF7DEDE"/>
        </patternFill>
      </fill>
    </dxf>
    <dxf>
      <font>
        <color rgb="FF1C5B36"/>
      </font>
      <fill>
        <patternFill>
          <bgColor rgb="FFDDEFE4"/>
        </patternFill>
      </fill>
    </dxf>
    <dxf>
      <font>
        <color rgb="FF745500"/>
      </font>
      <fill>
        <patternFill>
          <bgColor rgb="FFFFF1CC"/>
        </patternFill>
      </fill>
    </dxf>
    <dxf>
      <fill>
        <patternFill>
          <bgColor rgb="FFDDEFE4"/>
        </patternFill>
      </fill>
    </dxf>
    <dxf>
      <fill>
        <patternFill>
          <bgColor rgb="FFF7DEDE"/>
        </patternFill>
      </fill>
    </dxf>
    <dxf>
      <fill>
        <patternFill patternType="solid">
          <fgColor rgb="FF1F2A44"/>
          <bgColor rgb="FF000000"/>
        </patternFill>
      </fill>
    </dxf>
    <dxf>
      <fill>
        <patternFill patternType="solid">
          <fgColor rgb="FFD4EDDA"/>
          <bgColor rgb="FF000000"/>
        </patternFill>
      </fill>
    </dxf>
    <dxf>
      <fill>
        <patternFill patternType="solid">
          <fgColor rgb="FFDCE6F2"/>
          <bgColor rgb="FF000000"/>
        </patternFill>
      </fill>
    </dxf>
    <dxf>
      <fill>
        <patternFill patternType="solid">
          <fgColor rgb="FFEEEEEE"/>
          <bgColor rgb="FF000000"/>
        </patternFill>
      </fill>
    </dxf>
    <dxf>
      <fill>
        <patternFill>
          <bgColor rgb="FFF8D7DA"/>
        </patternFill>
      </fill>
    </dxf>
    <dxf>
      <fill>
        <patternFill>
          <bgColor rgb="FFFCE8B2"/>
        </patternFill>
      </fill>
    </dxf>
    <dxf>
      <fill>
        <patternFill>
          <bgColor rgb="FFDCE6F2"/>
        </patternFill>
      </fill>
    </dxf>
    <dxf>
      <fill>
        <patternFill>
          <bgColor rgb="FFD4EDDA"/>
        </patternFill>
      </fill>
    </dxf>
    <dxf>
      <fill>
        <patternFill>
          <bgColor rgb="FFEEEEEE"/>
        </patternFill>
      </fill>
    </dxf>
  </dxfs>
  <colors>
    <indexedColors>
      <rgbColor rgb="FF000000"/>
      <rgbColor rgb="FFFFFFFF"/>
      <rgbColor rgb="FFFF0000"/>
      <rgbColor rgb="FF00FF00"/>
      <rgbColor rgb="FF0000FF"/>
      <rgbColor rgb="FFFFFF00"/>
      <rgbColor rgb="FFFF00FF"/>
      <rgbColor rgb="FF00FFFF"/>
      <rgbColor rgb="FF800000"/>
      <rgbColor rgb="FF1C5B36"/>
      <rgbColor rgb="FF000080"/>
      <rgbColor rgb="FF745500"/>
      <rgbColor rgb="FF800080"/>
      <rgbColor rgb="FF008080"/>
      <rgbColor rgb="FFBFC7D5"/>
      <rgbColor rgb="FF808080"/>
      <rgbColor rgb="FF9999FF"/>
      <rgbColor rgb="FF993366"/>
      <rgbColor rgb="FFFFF1CC"/>
      <rgbColor rgb="FFDDEFE4"/>
      <rgbColor rgb="FF660066"/>
      <rgbColor rgb="FFFF8080"/>
      <rgbColor rgb="FF0066CC"/>
      <rgbColor rgb="FFDCE6F2"/>
      <rgbColor rgb="FF000080"/>
      <rgbColor rgb="FFFF00FF"/>
      <rgbColor rgb="FFFFFF00"/>
      <rgbColor rgb="FF00FFFF"/>
      <rgbColor rgb="FF800080"/>
      <rgbColor rgb="FF800000"/>
      <rgbColor rgb="FF008080"/>
      <rgbColor rgb="FF0000FF"/>
      <rgbColor rgb="FF00CCFF"/>
      <rgbColor rgb="FFEAF1F5"/>
      <rgbColor rgb="FFD4EDDA"/>
      <rgbColor rgb="FFFCE8B2"/>
      <rgbColor rgb="FFEEEEEE"/>
      <rgbColor rgb="FFF7DEDE"/>
      <rgbColor rgb="FFF7F3EA"/>
      <rgbColor rgb="FFF8D7DA"/>
      <rgbColor rgb="FF3366FF"/>
      <rgbColor rgb="FF33CCCC"/>
      <rgbColor rgb="FF99CC00"/>
      <rgbColor rgb="FFF4B942"/>
      <rgbColor rgb="FFFF9900"/>
      <rgbColor rgb="FFFF6600"/>
      <rgbColor rgb="FF2D5D7B"/>
      <rgbColor rgb="FF969696"/>
      <rgbColor rgb="FF203647"/>
      <rgbColor rgb="FF339966"/>
      <rgbColor rgb="FF003300"/>
      <rgbColor rgb="FF1F2A44"/>
      <rgbColor rgb="FF7B2222"/>
      <rgbColor rgb="FF993366"/>
      <rgbColor rgb="FF333399"/>
      <rgbColor rgb="FF2231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Architecture" displayName="TableArchitecture" ref="A4:G11" headerRowCount="1" totalsRowCount="0" totalsRowShown="0">
  <tableColumns count="7">
    <tableColumn id="1" name="Ordre"/>
    <tableColumn id="2" name="Étape cible"/>
    <tableColumn id="3" name="Défis"/>
    <tableColumn id="4" name="Sources principales"/>
    <tableColumn id="5" name="Sens pour l’élu"/>
    <tableColumn id="6" name="Interactions structurantes"/>
    <tableColumn id="7" name="Nombre de blocs affectés"/>
  </tableColumns>
</table>
</file>

<file path=xl/tables/table2.xml><?xml version="1.0" encoding="utf-8"?>
<table xmlns="http://schemas.openxmlformats.org/spreadsheetml/2006/main" id="2" name="TableCDC" displayName="TableCDC" ref="A4:H208" headerRowCount="1" totalsRowCount="0" totalsRowShown="0">
  <tableColumns count="8">
    <tableColumn id="1" name="ID"/>
    <tableColumn id="2" name="Section du cahier des charges"/>
    <tableColumn id="3" name="Exigence / décision"/>
    <tableColumn id="4" name="Cible"/>
    <tableColumn id="5" name="Type"/>
    <tableColumn id="6" name="Statut de couverture"/>
    <tableColumn id="7" name="Preuve attendue"/>
    <tableColumn id="8" name="Responsable"/>
  </tableColumns>
</table>
</file>

<file path=xl/tables/table3.xml><?xml version="1.0" encoding="utf-8"?>
<table xmlns="http://schemas.openxmlformats.org/spreadsheetml/2006/main" id="3" name="TableMatrice" displayName="TableMatrice" ref="A4:M1083" headerRowCount="1" totalsRowCount="0" totalsRowShown="0">
  <tableColumns count="13">
    <tableColumn id="1" name="ID"/>
    <tableColumn id="2" name="Source"/>
    <tableColumn id="3" name="Module source"/>
    <tableColumn id="4" name="Ordre"/>
    <tableColumn id="5" name="Localisation source"/>
    <tableColumn id="6" name="Type de bloc"/>
    <tableColumn id="7" name="Texte source exact"/>
    <tableColumn id="8" name="Séquence cible"/>
    <tableColumn id="9" name="Fonction pédagogique"/>
    <tableColumn id="10" name="Transformation proposée"/>
    <tableColumn id="11" name="Statut de transformation"/>
    <tableColumn id="12" name="Fidélité attendue"/>
    <tableColumn id="13" name="Validation"/>
  </tableColumns>
</table>
</file>

<file path=xl/tables/table4.xml><?xml version="1.0" encoding="utf-8"?>
<table xmlns="http://schemas.openxmlformats.org/spreadsheetml/2006/main" id="4" name="TableSources" displayName="TableSources" ref="A4:G15" headerRowCount="1" totalsRowCount="0" totalsRowShown="0">
  <tableColumns count="7">
    <tableColumn id="1" name="Code"/>
    <tableColumn id="2" name="Document source"/>
    <tableColumn id="3" name="Blocs extraits"/>
    <tableColumn id="4" name="Mots extraits"/>
    <tableColumn id="5" name="Blocs présents dans la matrice"/>
    <tableColumn id="6" name="Écart"/>
    <tableColumn id="7" name="Statut"/>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30"/>
    <col collapsed="false" customWidth="true" hidden="false" outlineLevel="0" max="3" min="3" style="1" width="58"/>
    <col collapsed="false" customWidth="true" hidden="false" outlineLevel="0" max="8" min="4" style="1" width="18"/>
  </cols>
  <sheetData>
    <row r="1" customFormat="false" ht="33.75" hidden="false" customHeight="true" outlineLevel="0" collapsed="false">
      <c r="A1" s="2" t="s">
        <v>0</v>
      </c>
      <c r="B1" s="2"/>
      <c r="C1" s="2"/>
      <c r="D1" s="2"/>
      <c r="E1" s="2"/>
      <c r="F1" s="2"/>
      <c r="G1" s="2"/>
      <c r="H1" s="2"/>
    </row>
    <row r="2" customFormat="false" ht="31.5" hidden="false" customHeight="true" outlineLevel="0" collapsed="false">
      <c r="A2" s="3" t="s">
        <v>1</v>
      </c>
      <c r="B2" s="3"/>
      <c r="C2" s="3"/>
      <c r="D2" s="3"/>
      <c r="E2" s="3"/>
      <c r="F2" s="3"/>
      <c r="G2" s="3"/>
      <c r="H2" s="3"/>
    </row>
    <row r="3" customFormat="false" ht="15" hidden="false" customHeight="false" outlineLevel="0" collapsed="false">
      <c r="A3" s="4"/>
      <c r="B3" s="4"/>
      <c r="C3" s="4"/>
      <c r="D3" s="4"/>
      <c r="E3" s="4"/>
      <c r="F3" s="4"/>
      <c r="G3" s="4"/>
      <c r="H3" s="4"/>
    </row>
    <row r="4" customFormat="false" ht="30" hidden="false" customHeight="true" outlineLevel="0" collapsed="false">
      <c r="A4" s="5" t="s">
        <v>2</v>
      </c>
      <c r="B4" s="5" t="s">
        <v>3</v>
      </c>
      <c r="C4" s="4"/>
      <c r="D4" s="5" t="s">
        <v>4</v>
      </c>
      <c r="E4" s="5"/>
      <c r="F4" s="5"/>
      <c r="G4" s="5"/>
      <c r="H4" s="5"/>
    </row>
    <row r="5" customFormat="false" ht="15" hidden="false" customHeight="true" outlineLevel="0" collapsed="false">
      <c r="A5" s="6" t="s">
        <v>5</v>
      </c>
      <c r="B5" s="7" t="n">
        <v>11</v>
      </c>
      <c r="C5" s="4"/>
      <c r="D5" s="8" t="s">
        <v>6</v>
      </c>
      <c r="E5" s="8"/>
      <c r="F5" s="8"/>
      <c r="G5" s="8"/>
      <c r="H5" s="8"/>
    </row>
    <row r="6" customFormat="false" ht="15" hidden="false" customHeight="false" outlineLevel="0" collapsed="false">
      <c r="A6" s="6" t="s">
        <v>7</v>
      </c>
      <c r="B6" s="7" t="n">
        <v>1079</v>
      </c>
      <c r="C6" s="4"/>
      <c r="D6" s="8"/>
      <c r="E6" s="8"/>
      <c r="F6" s="8"/>
      <c r="G6" s="8"/>
      <c r="H6" s="8"/>
    </row>
    <row r="7" customFormat="false" ht="15" hidden="false" customHeight="false" outlineLevel="0" collapsed="false">
      <c r="A7" s="6" t="s">
        <v>8</v>
      </c>
      <c r="B7" s="7" t="n">
        <v>20551</v>
      </c>
      <c r="C7" s="4"/>
      <c r="D7" s="8"/>
      <c r="E7" s="8"/>
      <c r="F7" s="8"/>
      <c r="G7" s="8"/>
      <c r="H7" s="8"/>
    </row>
    <row r="8" customFormat="false" ht="28.35" hidden="false" customHeight="false" outlineLevel="0" collapsed="false">
      <c r="A8" s="6" t="s">
        <v>9</v>
      </c>
      <c r="B8" s="7" t="n">
        <v>204</v>
      </c>
      <c r="C8" s="4"/>
      <c r="D8" s="8"/>
      <c r="E8" s="8"/>
      <c r="F8" s="8"/>
      <c r="G8" s="8"/>
      <c r="H8" s="8"/>
    </row>
    <row r="9" customFormat="false" ht="28.35" hidden="false" customHeight="false" outlineLevel="0" collapsed="false">
      <c r="A9" s="6" t="s">
        <v>10</v>
      </c>
      <c r="B9" s="7" t="s">
        <v>11</v>
      </c>
      <c r="C9" s="4"/>
      <c r="D9" s="8"/>
      <c r="E9" s="8"/>
      <c r="F9" s="8"/>
      <c r="G9" s="8"/>
      <c r="H9" s="8"/>
    </row>
    <row r="10" customFormat="false" ht="15" hidden="false" customHeight="false" outlineLevel="0" collapsed="false">
      <c r="A10" s="4"/>
      <c r="B10" s="4"/>
      <c r="C10" s="4"/>
      <c r="D10" s="4"/>
      <c r="E10" s="4"/>
      <c r="F10" s="4"/>
      <c r="G10" s="4"/>
      <c r="H10" s="4"/>
    </row>
    <row r="11" customFormat="false" ht="15" hidden="false" customHeight="false" outlineLevel="0" collapsed="false">
      <c r="A11" s="4"/>
      <c r="B11" s="4"/>
      <c r="C11" s="4"/>
      <c r="D11" s="4"/>
      <c r="E11" s="4"/>
      <c r="F11" s="4"/>
      <c r="G11" s="4"/>
      <c r="H11" s="4"/>
    </row>
    <row r="12" customFormat="false" ht="30" hidden="false" customHeight="true" outlineLevel="0" collapsed="false">
      <c r="A12" s="5" t="s">
        <v>12</v>
      </c>
      <c r="B12" s="5"/>
      <c r="C12" s="5"/>
      <c r="D12" s="5"/>
      <c r="E12" s="5"/>
      <c r="F12" s="5"/>
      <c r="G12" s="5"/>
      <c r="H12" s="5"/>
    </row>
    <row r="13" customFormat="false" ht="30" hidden="false" customHeight="true" outlineLevel="0" collapsed="false">
      <c r="A13" s="5" t="s">
        <v>13</v>
      </c>
      <c r="B13" s="5" t="s">
        <v>14</v>
      </c>
      <c r="C13" s="5" t="s">
        <v>15</v>
      </c>
      <c r="D13" s="4"/>
      <c r="E13" s="4"/>
      <c r="F13" s="4"/>
      <c r="G13" s="4"/>
      <c r="H13" s="4"/>
    </row>
    <row r="14" customFormat="false" ht="28.35" hidden="false" customHeight="false" outlineLevel="0" collapsed="false">
      <c r="A14" s="6" t="s">
        <v>16</v>
      </c>
      <c r="B14" s="4" t="s">
        <v>17</v>
      </c>
      <c r="C14" s="7" t="s">
        <v>18</v>
      </c>
      <c r="D14" s="4"/>
      <c r="E14" s="4"/>
      <c r="F14" s="4"/>
      <c r="G14" s="4"/>
      <c r="H14" s="4"/>
    </row>
    <row r="15" customFormat="false" ht="28.35" hidden="false" customHeight="false" outlineLevel="0" collapsed="false">
      <c r="A15" s="6" t="s">
        <v>19</v>
      </c>
      <c r="B15" s="4" t="s">
        <v>20</v>
      </c>
      <c r="C15" s="7" t="s">
        <v>21</v>
      </c>
      <c r="D15" s="4"/>
      <c r="E15" s="4"/>
      <c r="F15" s="4"/>
      <c r="G15" s="4"/>
      <c r="H15" s="4"/>
    </row>
    <row r="16" customFormat="false" ht="28.35" hidden="false" customHeight="false" outlineLevel="0" collapsed="false">
      <c r="A16" s="6" t="s">
        <v>22</v>
      </c>
      <c r="B16" s="4" t="s">
        <v>23</v>
      </c>
      <c r="C16" s="7" t="s">
        <v>24</v>
      </c>
      <c r="D16" s="4"/>
      <c r="E16" s="4"/>
      <c r="F16" s="4"/>
      <c r="G16" s="4"/>
      <c r="H16" s="4"/>
    </row>
    <row r="17" customFormat="false" ht="28.35" hidden="false" customHeight="false" outlineLevel="0" collapsed="false">
      <c r="A17" s="6" t="s">
        <v>25</v>
      </c>
      <c r="B17" s="4" t="s">
        <v>26</v>
      </c>
      <c r="C17" s="7" t="s">
        <v>27</v>
      </c>
      <c r="D17" s="4"/>
      <c r="E17" s="4"/>
      <c r="F17" s="4"/>
      <c r="G17" s="4"/>
      <c r="H17" s="4"/>
    </row>
    <row r="18" customFormat="false" ht="28.35" hidden="false" customHeight="false" outlineLevel="0" collapsed="false">
      <c r="A18" s="6" t="s">
        <v>28</v>
      </c>
      <c r="B18" s="4" t="s">
        <v>29</v>
      </c>
      <c r="C18" s="7" t="s">
        <v>30</v>
      </c>
      <c r="D18" s="4"/>
      <c r="E18" s="4"/>
      <c r="F18" s="4"/>
      <c r="G18" s="4"/>
      <c r="H18" s="4"/>
    </row>
    <row r="19" customFormat="false" ht="28.35" hidden="false" customHeight="false" outlineLevel="0" collapsed="false">
      <c r="A19" s="6" t="s">
        <v>31</v>
      </c>
      <c r="B19" s="7" t="s">
        <v>32</v>
      </c>
      <c r="C19" s="7" t="s">
        <v>33</v>
      </c>
      <c r="D19" s="4"/>
      <c r="E19" s="4"/>
      <c r="F19" s="4"/>
      <c r="G19" s="4"/>
      <c r="H19" s="4"/>
    </row>
  </sheetData>
  <mergeCells count="5">
    <mergeCell ref="A1:H1"/>
    <mergeCell ref="A2:H2"/>
    <mergeCell ref="D4:H4"/>
    <mergeCell ref="D5:H9"/>
    <mergeCell ref="A12:H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68"/>
    <col collapsed="false" customWidth="true" hidden="false" outlineLevel="0" max="4" min="3" style="1" width="15"/>
    <col collapsed="false" customWidth="true" hidden="false" outlineLevel="0" max="5" min="5" style="1" width="22"/>
    <col collapsed="false" customWidth="true" hidden="false" outlineLevel="0" max="6" min="6" style="1" width="10"/>
    <col collapsed="false" customWidth="true" hidden="false" outlineLevel="0" max="7" min="7" style="1" width="24"/>
  </cols>
  <sheetData>
    <row r="1" customFormat="false" ht="33.75" hidden="false" customHeight="true" outlineLevel="0" collapsed="false">
      <c r="A1" s="9" t="s">
        <v>34</v>
      </c>
      <c r="B1" s="9"/>
      <c r="C1" s="9"/>
      <c r="D1" s="9"/>
      <c r="E1" s="9"/>
      <c r="F1" s="9"/>
      <c r="G1" s="9"/>
    </row>
    <row r="2" customFormat="false" ht="31.5" hidden="false" customHeight="true" outlineLevel="0" collapsed="false">
      <c r="A2" s="3" t="s">
        <v>35</v>
      </c>
      <c r="B2" s="3"/>
      <c r="C2" s="3"/>
      <c r="D2" s="3"/>
      <c r="E2" s="3"/>
      <c r="F2" s="3"/>
      <c r="G2" s="3"/>
    </row>
    <row r="4" customFormat="false" ht="30" hidden="false" customHeight="true" outlineLevel="0" collapsed="false">
      <c r="A4" s="5" t="s">
        <v>36</v>
      </c>
      <c r="B4" s="5" t="s">
        <v>37</v>
      </c>
      <c r="C4" s="5" t="s">
        <v>38</v>
      </c>
      <c r="D4" s="5" t="s">
        <v>39</v>
      </c>
      <c r="E4" s="5" t="s">
        <v>40</v>
      </c>
      <c r="F4" s="5" t="s">
        <v>41</v>
      </c>
      <c r="G4" s="5" t="s">
        <v>13</v>
      </c>
    </row>
    <row r="5" customFormat="false" ht="15" hidden="false" customHeight="false" outlineLevel="0" collapsed="false">
      <c r="A5" s="7" t="s">
        <v>42</v>
      </c>
      <c r="B5" s="4" t="s">
        <v>43</v>
      </c>
      <c r="C5" s="4" t="n">
        <v>77</v>
      </c>
      <c r="D5" s="4" t="n">
        <v>1290</v>
      </c>
      <c r="E5" s="4" t="n">
        <v>77</v>
      </c>
      <c r="F5" s="4" t="n">
        <v>0</v>
      </c>
      <c r="G5" s="10" t="s">
        <v>44</v>
      </c>
    </row>
    <row r="6" customFormat="false" ht="15" hidden="false" customHeight="false" outlineLevel="0" collapsed="false">
      <c r="A6" s="7" t="s">
        <v>45</v>
      </c>
      <c r="B6" s="4" t="s">
        <v>46</v>
      </c>
      <c r="C6" s="4" t="n">
        <v>124</v>
      </c>
      <c r="D6" s="4" t="n">
        <v>2849</v>
      </c>
      <c r="E6" s="4" t="n">
        <v>124</v>
      </c>
      <c r="F6" s="4" t="n">
        <v>0</v>
      </c>
      <c r="G6" s="10" t="s">
        <v>44</v>
      </c>
    </row>
    <row r="7" customFormat="false" ht="15" hidden="false" customHeight="false" outlineLevel="0" collapsed="false">
      <c r="A7" s="7" t="s">
        <v>47</v>
      </c>
      <c r="B7" s="4" t="s">
        <v>48</v>
      </c>
      <c r="C7" s="4" t="n">
        <v>121</v>
      </c>
      <c r="D7" s="4" t="n">
        <v>2321</v>
      </c>
      <c r="E7" s="4" t="n">
        <v>121</v>
      </c>
      <c r="F7" s="4" t="n">
        <v>0</v>
      </c>
      <c r="G7" s="10" t="s">
        <v>44</v>
      </c>
    </row>
    <row r="8" customFormat="false" ht="15" hidden="false" customHeight="false" outlineLevel="0" collapsed="false">
      <c r="A8" s="7" t="s">
        <v>49</v>
      </c>
      <c r="B8" s="4" t="s">
        <v>50</v>
      </c>
      <c r="C8" s="4" t="n">
        <v>120</v>
      </c>
      <c r="D8" s="4" t="n">
        <v>2415</v>
      </c>
      <c r="E8" s="4" t="n">
        <v>120</v>
      </c>
      <c r="F8" s="4" t="n">
        <v>0</v>
      </c>
      <c r="G8" s="10" t="s">
        <v>44</v>
      </c>
    </row>
    <row r="9" customFormat="false" ht="15" hidden="false" customHeight="false" outlineLevel="0" collapsed="false">
      <c r="A9" s="7" t="s">
        <v>51</v>
      </c>
      <c r="B9" s="4" t="s">
        <v>52</v>
      </c>
      <c r="C9" s="4" t="n">
        <v>165</v>
      </c>
      <c r="D9" s="4" t="n">
        <v>3742</v>
      </c>
      <c r="E9" s="4" t="n">
        <v>165</v>
      </c>
      <c r="F9" s="4" t="n">
        <v>0</v>
      </c>
      <c r="G9" s="10" t="s">
        <v>44</v>
      </c>
    </row>
    <row r="10" customFormat="false" ht="15" hidden="false" customHeight="false" outlineLevel="0" collapsed="false">
      <c r="A10" s="7" t="s">
        <v>53</v>
      </c>
      <c r="B10" s="4" t="s">
        <v>54</v>
      </c>
      <c r="C10" s="4" t="n">
        <v>157</v>
      </c>
      <c r="D10" s="4" t="n">
        <v>2923</v>
      </c>
      <c r="E10" s="4" t="n">
        <v>157</v>
      </c>
      <c r="F10" s="4" t="n">
        <v>0</v>
      </c>
      <c r="G10" s="10" t="s">
        <v>44</v>
      </c>
    </row>
    <row r="11" customFormat="false" ht="15" hidden="false" customHeight="false" outlineLevel="0" collapsed="false">
      <c r="A11" s="7" t="s">
        <v>55</v>
      </c>
      <c r="B11" s="4" t="s">
        <v>56</v>
      </c>
      <c r="C11" s="4" t="n">
        <v>138</v>
      </c>
      <c r="D11" s="4" t="n">
        <v>2172</v>
      </c>
      <c r="E11" s="4" t="n">
        <v>138</v>
      </c>
      <c r="F11" s="4" t="n">
        <v>0</v>
      </c>
      <c r="G11" s="10" t="s">
        <v>44</v>
      </c>
    </row>
    <row r="12" customFormat="false" ht="15" hidden="false" customHeight="false" outlineLevel="0" collapsed="false">
      <c r="A12" s="7" t="s">
        <v>57</v>
      </c>
      <c r="B12" s="4" t="s">
        <v>58</v>
      </c>
      <c r="C12" s="4" t="n">
        <v>75</v>
      </c>
      <c r="D12" s="4" t="n">
        <v>1310</v>
      </c>
      <c r="E12" s="4" t="n">
        <v>75</v>
      </c>
      <c r="F12" s="4" t="n">
        <v>0</v>
      </c>
      <c r="G12" s="10" t="s">
        <v>44</v>
      </c>
    </row>
    <row r="13" customFormat="false" ht="28.35" hidden="false" customHeight="false" outlineLevel="0" collapsed="false">
      <c r="A13" s="7" t="s">
        <v>59</v>
      </c>
      <c r="B13" s="4" t="s">
        <v>60</v>
      </c>
      <c r="C13" s="4" t="n">
        <v>34</v>
      </c>
      <c r="D13" s="4" t="n">
        <v>507</v>
      </c>
      <c r="E13" s="4" t="n">
        <v>34</v>
      </c>
      <c r="F13" s="4" t="n">
        <v>0</v>
      </c>
      <c r="G13" s="10" t="s">
        <v>44</v>
      </c>
    </row>
    <row r="14" customFormat="false" ht="15" hidden="false" customHeight="false" outlineLevel="0" collapsed="false">
      <c r="A14" s="7" t="s">
        <v>61</v>
      </c>
      <c r="B14" s="4" t="s">
        <v>62</v>
      </c>
      <c r="C14" s="4" t="n">
        <v>32</v>
      </c>
      <c r="D14" s="4" t="n">
        <v>407</v>
      </c>
      <c r="E14" s="4" t="n">
        <v>32</v>
      </c>
      <c r="F14" s="4" t="n">
        <v>0</v>
      </c>
      <c r="G14" s="10" t="s">
        <v>44</v>
      </c>
    </row>
    <row r="15" customFormat="false" ht="15" hidden="false" customHeight="false" outlineLevel="0" collapsed="false">
      <c r="A15" s="7" t="s">
        <v>63</v>
      </c>
      <c r="B15" s="7" t="s">
        <v>64</v>
      </c>
      <c r="C15" s="7" t="n">
        <v>36</v>
      </c>
      <c r="D15" s="7" t="n">
        <v>615</v>
      </c>
      <c r="E15" s="7" t="n">
        <v>36</v>
      </c>
      <c r="F15" s="7" t="n">
        <v>0</v>
      </c>
      <c r="G15" s="10" t="s">
        <v>44</v>
      </c>
    </row>
  </sheetData>
  <mergeCells count="2">
    <mergeCell ref="A1:G1"/>
    <mergeCell ref="A2:G2"/>
  </mergeCells>
  <conditionalFormatting sqref="G5:G15">
    <cfRule type="expression" priority="2" aboveAverage="0" equalAverage="0" bottom="0" percent="0" rank="0" text="" dxfId="5">
      <formula>G5="Couverture complète"</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8"/>
    <col collapsed="false" customWidth="true" hidden="false" outlineLevel="0" max="3" min="3" style="1" width="12"/>
    <col collapsed="false" customWidth="true" hidden="false" outlineLevel="0" max="4" min="4" style="1" width="9"/>
    <col collapsed="false" customWidth="true" hidden="false" outlineLevel="0" max="5" min="5" style="1" width="42"/>
    <col collapsed="false" customWidth="true" hidden="false" outlineLevel="0" max="6" min="6" style="1" width="16"/>
    <col collapsed="false" customWidth="true" hidden="false" outlineLevel="0" max="7" min="7" style="1" width="95"/>
    <col collapsed="false" customWidth="true" hidden="false" outlineLevel="0" max="8" min="8" style="1" width="46"/>
    <col collapsed="false" customWidth="true" hidden="false" outlineLevel="0" max="9" min="9" style="1" width="28"/>
    <col collapsed="false" customWidth="true" hidden="false" outlineLevel="0" max="10" min="10" style="1" width="70"/>
    <col collapsed="false" customWidth="true" hidden="false" outlineLevel="0" max="12" min="11" style="1" width="28"/>
    <col collapsed="false" customWidth="true" hidden="false" outlineLevel="0" max="13" min="13" style="1" width="22"/>
  </cols>
  <sheetData>
    <row r="1" customFormat="false" ht="33.75" hidden="false" customHeight="true" outlineLevel="0" collapsed="false">
      <c r="A1" s="9" t="s">
        <v>65</v>
      </c>
      <c r="B1" s="9"/>
      <c r="C1" s="9"/>
      <c r="D1" s="9"/>
      <c r="E1" s="9"/>
      <c r="F1" s="9"/>
      <c r="G1" s="9"/>
      <c r="H1" s="9"/>
      <c r="I1" s="9"/>
      <c r="J1" s="9"/>
      <c r="K1" s="9"/>
      <c r="L1" s="9"/>
      <c r="M1" s="9"/>
    </row>
    <row r="2" customFormat="false" ht="31.5" hidden="false" customHeight="true" outlineLevel="0" collapsed="false">
      <c r="A2" s="3" t="s">
        <v>66</v>
      </c>
      <c r="B2" s="3"/>
      <c r="C2" s="3"/>
      <c r="D2" s="3"/>
      <c r="E2" s="3"/>
      <c r="F2" s="3"/>
      <c r="G2" s="3"/>
      <c r="H2" s="3"/>
      <c r="I2" s="3"/>
      <c r="J2" s="3"/>
      <c r="K2" s="3"/>
      <c r="L2" s="3"/>
      <c r="M2" s="3"/>
    </row>
    <row r="4" customFormat="false" ht="30" hidden="false" customHeight="true" outlineLevel="0" collapsed="false">
      <c r="A4" s="5" t="s">
        <v>67</v>
      </c>
      <c r="B4" s="5" t="s">
        <v>68</v>
      </c>
      <c r="C4" s="5" t="s">
        <v>69</v>
      </c>
      <c r="D4" s="5" t="s">
        <v>70</v>
      </c>
      <c r="E4" s="5" t="s">
        <v>71</v>
      </c>
      <c r="F4" s="5" t="s">
        <v>72</v>
      </c>
      <c r="G4" s="5" t="s">
        <v>73</v>
      </c>
      <c r="H4" s="5" t="s">
        <v>74</v>
      </c>
      <c r="I4" s="5" t="s">
        <v>75</v>
      </c>
      <c r="J4" s="5" t="s">
        <v>76</v>
      </c>
      <c r="K4" s="5" t="s">
        <v>77</v>
      </c>
      <c r="L4" s="5" t="s">
        <v>78</v>
      </c>
      <c r="M4" s="5" t="s">
        <v>79</v>
      </c>
    </row>
    <row r="5" customFormat="false" ht="28.35" hidden="false" customHeight="false" outlineLevel="0" collapsed="false">
      <c r="A5" s="11" t="s">
        <v>80</v>
      </c>
      <c r="B5" s="12" t="s">
        <v>43</v>
      </c>
      <c r="C5" s="12" t="s">
        <v>42</v>
      </c>
      <c r="D5" s="12" t="n">
        <v>1</v>
      </c>
      <c r="E5" s="12" t="s">
        <v>81</v>
      </c>
      <c r="F5" s="12" t="s">
        <v>82</v>
      </c>
      <c r="G5" s="12" t="s">
        <v>81</v>
      </c>
      <c r="H5" s="12" t="s">
        <v>83</v>
      </c>
      <c r="I5" s="12" t="s">
        <v>84</v>
      </c>
      <c r="J5" s="12" t="s">
        <v>85</v>
      </c>
      <c r="K5" s="12" t="s">
        <v>86</v>
      </c>
      <c r="L5" s="12" t="s">
        <v>87</v>
      </c>
      <c r="M5" s="11" t="s">
        <v>88</v>
      </c>
    </row>
    <row r="6" customFormat="false" ht="28.35" hidden="false" customHeight="false" outlineLevel="0" collapsed="false">
      <c r="A6" s="11" t="s">
        <v>89</v>
      </c>
      <c r="B6" s="12" t="s">
        <v>43</v>
      </c>
      <c r="C6" s="12" t="s">
        <v>42</v>
      </c>
      <c r="D6" s="12" t="n">
        <v>2</v>
      </c>
      <c r="E6" s="12" t="s">
        <v>90</v>
      </c>
      <c r="F6" s="12" t="s">
        <v>82</v>
      </c>
      <c r="G6" s="12" t="s">
        <v>90</v>
      </c>
      <c r="H6" s="12" t="s">
        <v>83</v>
      </c>
      <c r="I6" s="12" t="s">
        <v>84</v>
      </c>
      <c r="J6" s="12" t="s">
        <v>85</v>
      </c>
      <c r="K6" s="12" t="s">
        <v>86</v>
      </c>
      <c r="L6" s="12" t="s">
        <v>87</v>
      </c>
      <c r="M6" s="11" t="s">
        <v>88</v>
      </c>
    </row>
    <row r="7" customFormat="false" ht="28.35" hidden="false" customHeight="false" outlineLevel="0" collapsed="false">
      <c r="A7" s="11" t="s">
        <v>91</v>
      </c>
      <c r="B7" s="12" t="s">
        <v>43</v>
      </c>
      <c r="C7" s="12" t="s">
        <v>42</v>
      </c>
      <c r="D7" s="12" t="n">
        <v>3</v>
      </c>
      <c r="E7" s="12" t="s">
        <v>92</v>
      </c>
      <c r="F7" s="12" t="s">
        <v>82</v>
      </c>
      <c r="G7" s="12" t="s">
        <v>92</v>
      </c>
      <c r="H7" s="12" t="s">
        <v>83</v>
      </c>
      <c r="I7" s="12" t="s">
        <v>93</v>
      </c>
      <c r="J7" s="12" t="s">
        <v>94</v>
      </c>
      <c r="K7" s="12" t="s">
        <v>95</v>
      </c>
      <c r="L7" s="12" t="s">
        <v>96</v>
      </c>
      <c r="M7" s="11" t="s">
        <v>88</v>
      </c>
    </row>
    <row r="8" customFormat="false" ht="28.35" hidden="false" customHeight="false" outlineLevel="0" collapsed="false">
      <c r="A8" s="11" t="s">
        <v>97</v>
      </c>
      <c r="B8" s="12" t="s">
        <v>43</v>
      </c>
      <c r="C8" s="12" t="s">
        <v>42</v>
      </c>
      <c r="D8" s="12" t="n">
        <v>4</v>
      </c>
      <c r="E8" s="12" t="s">
        <v>92</v>
      </c>
      <c r="F8" s="12" t="s">
        <v>98</v>
      </c>
      <c r="G8" s="12" t="s">
        <v>99</v>
      </c>
      <c r="H8" s="12" t="s">
        <v>83</v>
      </c>
      <c r="I8" s="12" t="s">
        <v>93</v>
      </c>
      <c r="J8" s="12" t="s">
        <v>94</v>
      </c>
      <c r="K8" s="12" t="s">
        <v>95</v>
      </c>
      <c r="L8" s="12" t="s">
        <v>96</v>
      </c>
      <c r="M8" s="11" t="s">
        <v>88</v>
      </c>
    </row>
    <row r="9" customFormat="false" ht="28.35" hidden="false" customHeight="false" outlineLevel="0" collapsed="false">
      <c r="A9" s="11" t="s">
        <v>100</v>
      </c>
      <c r="B9" s="12" t="s">
        <v>43</v>
      </c>
      <c r="C9" s="12" t="s">
        <v>42</v>
      </c>
      <c r="D9" s="12" t="n">
        <v>5</v>
      </c>
      <c r="E9" s="12" t="s">
        <v>92</v>
      </c>
      <c r="F9" s="12" t="s">
        <v>98</v>
      </c>
      <c r="G9" s="12" t="s">
        <v>101</v>
      </c>
      <c r="H9" s="12" t="s">
        <v>83</v>
      </c>
      <c r="I9" s="12" t="s">
        <v>93</v>
      </c>
      <c r="J9" s="12" t="s">
        <v>94</v>
      </c>
      <c r="K9" s="12" t="s">
        <v>95</v>
      </c>
      <c r="L9" s="12" t="s">
        <v>96</v>
      </c>
      <c r="M9" s="11" t="s">
        <v>88</v>
      </c>
    </row>
    <row r="10" customFormat="false" ht="28.35" hidden="false" customHeight="false" outlineLevel="0" collapsed="false">
      <c r="A10" s="11" t="s">
        <v>102</v>
      </c>
      <c r="B10" s="12" t="s">
        <v>43</v>
      </c>
      <c r="C10" s="12" t="s">
        <v>42</v>
      </c>
      <c r="D10" s="12" t="n">
        <v>6</v>
      </c>
      <c r="E10" s="12" t="s">
        <v>92</v>
      </c>
      <c r="F10" s="12" t="s">
        <v>98</v>
      </c>
      <c r="G10" s="12" t="s">
        <v>103</v>
      </c>
      <c r="H10" s="12" t="s">
        <v>83</v>
      </c>
      <c r="I10" s="12" t="s">
        <v>93</v>
      </c>
      <c r="J10" s="12" t="s">
        <v>94</v>
      </c>
      <c r="K10" s="12" t="s">
        <v>95</v>
      </c>
      <c r="L10" s="12" t="s">
        <v>96</v>
      </c>
      <c r="M10" s="11" t="s">
        <v>88</v>
      </c>
    </row>
    <row r="11" customFormat="false" ht="28.35" hidden="false" customHeight="false" outlineLevel="0" collapsed="false">
      <c r="A11" s="11" t="s">
        <v>104</v>
      </c>
      <c r="B11" s="12" t="s">
        <v>43</v>
      </c>
      <c r="C11" s="12" t="s">
        <v>42</v>
      </c>
      <c r="D11" s="12" t="n">
        <v>7</v>
      </c>
      <c r="E11" s="12" t="s">
        <v>92</v>
      </c>
      <c r="F11" s="12" t="s">
        <v>98</v>
      </c>
      <c r="G11" s="12" t="s">
        <v>105</v>
      </c>
      <c r="H11" s="12" t="s">
        <v>83</v>
      </c>
      <c r="I11" s="12" t="s">
        <v>93</v>
      </c>
      <c r="J11" s="12" t="s">
        <v>94</v>
      </c>
      <c r="K11" s="12" t="s">
        <v>95</v>
      </c>
      <c r="L11" s="12" t="s">
        <v>96</v>
      </c>
      <c r="M11" s="11" t="s">
        <v>88</v>
      </c>
    </row>
    <row r="12" customFormat="false" ht="28.35" hidden="false" customHeight="false" outlineLevel="0" collapsed="false">
      <c r="A12" s="11" t="s">
        <v>106</v>
      </c>
      <c r="B12" s="12" t="s">
        <v>43</v>
      </c>
      <c r="C12" s="12" t="s">
        <v>42</v>
      </c>
      <c r="D12" s="12" t="n">
        <v>8</v>
      </c>
      <c r="E12" s="12" t="s">
        <v>92</v>
      </c>
      <c r="F12" s="12" t="s">
        <v>98</v>
      </c>
      <c r="G12" s="12" t="s">
        <v>107</v>
      </c>
      <c r="H12" s="12" t="s">
        <v>83</v>
      </c>
      <c r="I12" s="12" t="s">
        <v>93</v>
      </c>
      <c r="J12" s="12" t="s">
        <v>94</v>
      </c>
      <c r="K12" s="12" t="s">
        <v>95</v>
      </c>
      <c r="L12" s="12" t="s">
        <v>96</v>
      </c>
      <c r="M12" s="11" t="s">
        <v>88</v>
      </c>
    </row>
    <row r="13" customFormat="false" ht="28.35" hidden="false" customHeight="false" outlineLevel="0" collapsed="false">
      <c r="A13" s="11" t="s">
        <v>108</v>
      </c>
      <c r="B13" s="12" t="s">
        <v>43</v>
      </c>
      <c r="C13" s="12" t="s">
        <v>42</v>
      </c>
      <c r="D13" s="12" t="n">
        <v>9</v>
      </c>
      <c r="E13" s="12" t="s">
        <v>92</v>
      </c>
      <c r="F13" s="12" t="s">
        <v>98</v>
      </c>
      <c r="G13" s="12" t="s">
        <v>109</v>
      </c>
      <c r="H13" s="12" t="s">
        <v>83</v>
      </c>
      <c r="I13" s="12" t="s">
        <v>93</v>
      </c>
      <c r="J13" s="12" t="s">
        <v>94</v>
      </c>
      <c r="K13" s="12" t="s">
        <v>95</v>
      </c>
      <c r="L13" s="12" t="s">
        <v>96</v>
      </c>
      <c r="M13" s="11" t="s">
        <v>88</v>
      </c>
    </row>
    <row r="14" customFormat="false" ht="55.2" hidden="false" customHeight="false" outlineLevel="0" collapsed="false">
      <c r="A14" s="11" t="s">
        <v>110</v>
      </c>
      <c r="B14" s="12" t="s">
        <v>43</v>
      </c>
      <c r="C14" s="12" t="s">
        <v>42</v>
      </c>
      <c r="D14" s="12" t="n">
        <v>10</v>
      </c>
      <c r="E14" s="12" t="s">
        <v>92</v>
      </c>
      <c r="F14" s="12" t="s">
        <v>98</v>
      </c>
      <c r="G14" s="12" t="s">
        <v>111</v>
      </c>
      <c r="H14" s="12" t="s">
        <v>83</v>
      </c>
      <c r="I14" s="12" t="s">
        <v>93</v>
      </c>
      <c r="J14" s="12" t="s">
        <v>94</v>
      </c>
      <c r="K14" s="12" t="s">
        <v>95</v>
      </c>
      <c r="L14" s="12" t="s">
        <v>96</v>
      </c>
      <c r="M14" s="11" t="s">
        <v>88</v>
      </c>
    </row>
    <row r="15" customFormat="false" ht="28.35" hidden="false" customHeight="false" outlineLevel="0" collapsed="false">
      <c r="A15" s="11" t="s">
        <v>112</v>
      </c>
      <c r="B15" s="12" t="s">
        <v>43</v>
      </c>
      <c r="C15" s="12" t="s">
        <v>42</v>
      </c>
      <c r="D15" s="12" t="n">
        <v>11</v>
      </c>
      <c r="E15" s="12" t="s">
        <v>113</v>
      </c>
      <c r="F15" s="12" t="s">
        <v>82</v>
      </c>
      <c r="G15" s="12" t="s">
        <v>113</v>
      </c>
      <c r="H15" s="12" t="s">
        <v>83</v>
      </c>
      <c r="I15" s="12" t="s">
        <v>93</v>
      </c>
      <c r="J15" s="12" t="s">
        <v>94</v>
      </c>
      <c r="K15" s="12" t="s">
        <v>95</v>
      </c>
      <c r="L15" s="12" t="s">
        <v>96</v>
      </c>
      <c r="M15" s="11" t="s">
        <v>88</v>
      </c>
    </row>
    <row r="16" customFormat="false" ht="28.35" hidden="false" customHeight="false" outlineLevel="0" collapsed="false">
      <c r="A16" s="11" t="s">
        <v>114</v>
      </c>
      <c r="B16" s="12" t="s">
        <v>43</v>
      </c>
      <c r="C16" s="12" t="s">
        <v>42</v>
      </c>
      <c r="D16" s="12" t="n">
        <v>12</v>
      </c>
      <c r="E16" s="12" t="s">
        <v>113</v>
      </c>
      <c r="F16" s="12" t="s">
        <v>98</v>
      </c>
      <c r="G16" s="12" t="s">
        <v>115</v>
      </c>
      <c r="H16" s="12" t="s">
        <v>83</v>
      </c>
      <c r="I16" s="12" t="s">
        <v>93</v>
      </c>
      <c r="J16" s="12" t="s">
        <v>94</v>
      </c>
      <c r="K16" s="12" t="s">
        <v>95</v>
      </c>
      <c r="L16" s="12" t="s">
        <v>96</v>
      </c>
      <c r="M16" s="11" t="s">
        <v>88</v>
      </c>
    </row>
    <row r="17" customFormat="false" ht="28.35" hidden="false" customHeight="false" outlineLevel="0" collapsed="false">
      <c r="A17" s="11" t="s">
        <v>116</v>
      </c>
      <c r="B17" s="12" t="s">
        <v>43</v>
      </c>
      <c r="C17" s="12" t="s">
        <v>42</v>
      </c>
      <c r="D17" s="12" t="n">
        <v>13</v>
      </c>
      <c r="E17" s="12" t="s">
        <v>113</v>
      </c>
      <c r="F17" s="12" t="s">
        <v>98</v>
      </c>
      <c r="G17" s="12" t="s">
        <v>117</v>
      </c>
      <c r="H17" s="12" t="s">
        <v>83</v>
      </c>
      <c r="I17" s="12" t="s">
        <v>93</v>
      </c>
      <c r="J17" s="12" t="s">
        <v>94</v>
      </c>
      <c r="K17" s="12" t="s">
        <v>95</v>
      </c>
      <c r="L17" s="12" t="s">
        <v>96</v>
      </c>
      <c r="M17" s="11" t="s">
        <v>88</v>
      </c>
    </row>
    <row r="18" customFormat="false" ht="28.35" hidden="false" customHeight="false" outlineLevel="0" collapsed="false">
      <c r="A18" s="11" t="s">
        <v>118</v>
      </c>
      <c r="B18" s="12" t="s">
        <v>43</v>
      </c>
      <c r="C18" s="12" t="s">
        <v>42</v>
      </c>
      <c r="D18" s="12" t="n">
        <v>14</v>
      </c>
      <c r="E18" s="12" t="s">
        <v>113</v>
      </c>
      <c r="F18" s="12" t="s">
        <v>98</v>
      </c>
      <c r="G18" s="12" t="s">
        <v>119</v>
      </c>
      <c r="H18" s="12" t="s">
        <v>83</v>
      </c>
      <c r="I18" s="12" t="s">
        <v>93</v>
      </c>
      <c r="J18" s="12" t="s">
        <v>94</v>
      </c>
      <c r="K18" s="12" t="s">
        <v>95</v>
      </c>
      <c r="L18" s="12" t="s">
        <v>96</v>
      </c>
      <c r="M18" s="11" t="s">
        <v>88</v>
      </c>
    </row>
    <row r="19" customFormat="false" ht="28.35" hidden="false" customHeight="false" outlineLevel="0" collapsed="false">
      <c r="A19" s="11" t="s">
        <v>120</v>
      </c>
      <c r="B19" s="12" t="s">
        <v>43</v>
      </c>
      <c r="C19" s="12" t="s">
        <v>42</v>
      </c>
      <c r="D19" s="12" t="n">
        <v>15</v>
      </c>
      <c r="E19" s="12" t="s">
        <v>113</v>
      </c>
      <c r="F19" s="12" t="s">
        <v>98</v>
      </c>
      <c r="G19" s="12" t="s">
        <v>121</v>
      </c>
      <c r="H19" s="12" t="s">
        <v>83</v>
      </c>
      <c r="I19" s="12" t="s">
        <v>93</v>
      </c>
      <c r="J19" s="12" t="s">
        <v>94</v>
      </c>
      <c r="K19" s="12" t="s">
        <v>95</v>
      </c>
      <c r="L19" s="12" t="s">
        <v>96</v>
      </c>
      <c r="M19" s="11" t="s">
        <v>88</v>
      </c>
    </row>
    <row r="20" customFormat="false" ht="28.35" hidden="false" customHeight="false" outlineLevel="0" collapsed="false">
      <c r="A20" s="11" t="s">
        <v>122</v>
      </c>
      <c r="B20" s="12" t="s">
        <v>43</v>
      </c>
      <c r="C20" s="12" t="s">
        <v>42</v>
      </c>
      <c r="D20" s="12" t="n">
        <v>16</v>
      </c>
      <c r="E20" s="12" t="s">
        <v>113</v>
      </c>
      <c r="F20" s="12" t="s">
        <v>98</v>
      </c>
      <c r="G20" s="12" t="s">
        <v>123</v>
      </c>
      <c r="H20" s="12" t="s">
        <v>83</v>
      </c>
      <c r="I20" s="12" t="s">
        <v>93</v>
      </c>
      <c r="J20" s="12" t="s">
        <v>94</v>
      </c>
      <c r="K20" s="12" t="s">
        <v>95</v>
      </c>
      <c r="L20" s="12" t="s">
        <v>96</v>
      </c>
      <c r="M20" s="11" t="s">
        <v>88</v>
      </c>
    </row>
    <row r="21" customFormat="false" ht="28.35" hidden="false" customHeight="false" outlineLevel="0" collapsed="false">
      <c r="A21" s="11" t="s">
        <v>124</v>
      </c>
      <c r="B21" s="12" t="s">
        <v>43</v>
      </c>
      <c r="C21" s="12" t="s">
        <v>42</v>
      </c>
      <c r="D21" s="12" t="n">
        <v>17</v>
      </c>
      <c r="E21" s="12" t="s">
        <v>113</v>
      </c>
      <c r="F21" s="12" t="s">
        <v>98</v>
      </c>
      <c r="G21" s="12" t="s">
        <v>125</v>
      </c>
      <c r="H21" s="12" t="s">
        <v>126</v>
      </c>
      <c r="I21" s="12" t="s">
        <v>93</v>
      </c>
      <c r="J21" s="12" t="s">
        <v>94</v>
      </c>
      <c r="K21" s="12" t="s">
        <v>95</v>
      </c>
      <c r="L21" s="12" t="s">
        <v>96</v>
      </c>
      <c r="M21" s="11" t="s">
        <v>88</v>
      </c>
    </row>
    <row r="22" customFormat="false" ht="28.35" hidden="false" customHeight="false" outlineLevel="0" collapsed="false">
      <c r="A22" s="11" t="s">
        <v>127</v>
      </c>
      <c r="B22" s="12" t="s">
        <v>43</v>
      </c>
      <c r="C22" s="12" t="s">
        <v>42</v>
      </c>
      <c r="D22" s="12" t="n">
        <v>18</v>
      </c>
      <c r="E22" s="12" t="s">
        <v>113</v>
      </c>
      <c r="F22" s="12" t="s">
        <v>98</v>
      </c>
      <c r="G22" s="12" t="s">
        <v>128</v>
      </c>
      <c r="H22" s="12" t="s">
        <v>83</v>
      </c>
      <c r="I22" s="12" t="s">
        <v>93</v>
      </c>
      <c r="J22" s="12" t="s">
        <v>94</v>
      </c>
      <c r="K22" s="12" t="s">
        <v>95</v>
      </c>
      <c r="L22" s="12" t="s">
        <v>96</v>
      </c>
      <c r="M22" s="11" t="s">
        <v>88</v>
      </c>
    </row>
    <row r="23" customFormat="false" ht="28.35" hidden="false" customHeight="false" outlineLevel="0" collapsed="false">
      <c r="A23" s="11" t="s">
        <v>129</v>
      </c>
      <c r="B23" s="12" t="s">
        <v>43</v>
      </c>
      <c r="C23" s="12" t="s">
        <v>42</v>
      </c>
      <c r="D23" s="12" t="n">
        <v>19</v>
      </c>
      <c r="E23" s="12" t="s">
        <v>113</v>
      </c>
      <c r="F23" s="12" t="s">
        <v>98</v>
      </c>
      <c r="G23" s="12" t="s">
        <v>130</v>
      </c>
      <c r="H23" s="12" t="s">
        <v>83</v>
      </c>
      <c r="I23" s="12" t="s">
        <v>93</v>
      </c>
      <c r="J23" s="12" t="s">
        <v>94</v>
      </c>
      <c r="K23" s="12" t="s">
        <v>95</v>
      </c>
      <c r="L23" s="12" t="s">
        <v>96</v>
      </c>
      <c r="M23" s="11" t="s">
        <v>88</v>
      </c>
    </row>
    <row r="24" customFormat="false" ht="28.35" hidden="false" customHeight="false" outlineLevel="0" collapsed="false">
      <c r="A24" s="11" t="s">
        <v>131</v>
      </c>
      <c r="B24" s="12" t="s">
        <v>43</v>
      </c>
      <c r="C24" s="12" t="s">
        <v>42</v>
      </c>
      <c r="D24" s="12" t="n">
        <v>20</v>
      </c>
      <c r="E24" s="12" t="s">
        <v>113</v>
      </c>
      <c r="F24" s="12" t="s">
        <v>132</v>
      </c>
      <c r="G24" s="12" t="s">
        <v>133</v>
      </c>
      <c r="H24" s="12" t="s">
        <v>83</v>
      </c>
      <c r="I24" s="12" t="s">
        <v>93</v>
      </c>
      <c r="J24" s="12" t="s">
        <v>94</v>
      </c>
      <c r="K24" s="12" t="s">
        <v>95</v>
      </c>
      <c r="L24" s="12" t="s">
        <v>96</v>
      </c>
      <c r="M24" s="11" t="s">
        <v>88</v>
      </c>
    </row>
    <row r="25" customFormat="false" ht="28.35" hidden="false" customHeight="false" outlineLevel="0" collapsed="false">
      <c r="A25" s="11" t="s">
        <v>134</v>
      </c>
      <c r="B25" s="12" t="s">
        <v>43</v>
      </c>
      <c r="C25" s="12" t="s">
        <v>42</v>
      </c>
      <c r="D25" s="12" t="n">
        <v>21</v>
      </c>
      <c r="E25" s="12" t="s">
        <v>113</v>
      </c>
      <c r="F25" s="12" t="s">
        <v>132</v>
      </c>
      <c r="G25" s="12" t="s">
        <v>135</v>
      </c>
      <c r="H25" s="12" t="s">
        <v>83</v>
      </c>
      <c r="I25" s="12" t="s">
        <v>93</v>
      </c>
      <c r="J25" s="12" t="s">
        <v>94</v>
      </c>
      <c r="K25" s="12" t="s">
        <v>95</v>
      </c>
      <c r="L25" s="12" t="s">
        <v>96</v>
      </c>
      <c r="M25" s="11" t="s">
        <v>88</v>
      </c>
    </row>
    <row r="26" customFormat="false" ht="28.35" hidden="false" customHeight="false" outlineLevel="0" collapsed="false">
      <c r="A26" s="11" t="s">
        <v>136</v>
      </c>
      <c r="B26" s="12" t="s">
        <v>43</v>
      </c>
      <c r="C26" s="12" t="s">
        <v>42</v>
      </c>
      <c r="D26" s="12" t="n">
        <v>22</v>
      </c>
      <c r="E26" s="12" t="s">
        <v>113</v>
      </c>
      <c r="F26" s="12" t="s">
        <v>132</v>
      </c>
      <c r="G26" s="12" t="s">
        <v>137</v>
      </c>
      <c r="H26" s="12" t="s">
        <v>83</v>
      </c>
      <c r="I26" s="12" t="s">
        <v>93</v>
      </c>
      <c r="J26" s="12" t="s">
        <v>94</v>
      </c>
      <c r="K26" s="12" t="s">
        <v>95</v>
      </c>
      <c r="L26" s="12" t="s">
        <v>96</v>
      </c>
      <c r="M26" s="11" t="s">
        <v>88</v>
      </c>
    </row>
    <row r="27" customFormat="false" ht="28.35" hidden="false" customHeight="false" outlineLevel="0" collapsed="false">
      <c r="A27" s="11" t="s">
        <v>138</v>
      </c>
      <c r="B27" s="12" t="s">
        <v>43</v>
      </c>
      <c r="C27" s="12" t="s">
        <v>42</v>
      </c>
      <c r="D27" s="12" t="n">
        <v>23</v>
      </c>
      <c r="E27" s="12" t="s">
        <v>113</v>
      </c>
      <c r="F27" s="12" t="s">
        <v>132</v>
      </c>
      <c r="G27" s="12" t="s">
        <v>139</v>
      </c>
      <c r="H27" s="12" t="s">
        <v>83</v>
      </c>
      <c r="I27" s="12" t="s">
        <v>93</v>
      </c>
      <c r="J27" s="12" t="s">
        <v>94</v>
      </c>
      <c r="K27" s="12" t="s">
        <v>95</v>
      </c>
      <c r="L27" s="12" t="s">
        <v>96</v>
      </c>
      <c r="M27" s="11" t="s">
        <v>88</v>
      </c>
    </row>
    <row r="28" customFormat="false" ht="28.35" hidden="false" customHeight="false" outlineLevel="0" collapsed="false">
      <c r="A28" s="11" t="s">
        <v>140</v>
      </c>
      <c r="B28" s="12" t="s">
        <v>43</v>
      </c>
      <c r="C28" s="12" t="s">
        <v>42</v>
      </c>
      <c r="D28" s="12" t="n">
        <v>24</v>
      </c>
      <c r="E28" s="12" t="s">
        <v>113</v>
      </c>
      <c r="F28" s="12" t="s">
        <v>132</v>
      </c>
      <c r="G28" s="12" t="s">
        <v>141</v>
      </c>
      <c r="H28" s="12" t="s">
        <v>83</v>
      </c>
      <c r="I28" s="12" t="s">
        <v>93</v>
      </c>
      <c r="J28" s="12" t="s">
        <v>94</v>
      </c>
      <c r="K28" s="12" t="s">
        <v>95</v>
      </c>
      <c r="L28" s="12" t="s">
        <v>96</v>
      </c>
      <c r="M28" s="11" t="s">
        <v>88</v>
      </c>
    </row>
    <row r="29" customFormat="false" ht="28.35" hidden="false" customHeight="false" outlineLevel="0" collapsed="false">
      <c r="A29" s="11" t="s">
        <v>142</v>
      </c>
      <c r="B29" s="12" t="s">
        <v>43</v>
      </c>
      <c r="C29" s="12" t="s">
        <v>42</v>
      </c>
      <c r="D29" s="12" t="n">
        <v>25</v>
      </c>
      <c r="E29" s="12" t="s">
        <v>113</v>
      </c>
      <c r="F29" s="12" t="s">
        <v>132</v>
      </c>
      <c r="G29" s="12" t="s">
        <v>143</v>
      </c>
      <c r="H29" s="12" t="s">
        <v>83</v>
      </c>
      <c r="I29" s="12" t="s">
        <v>93</v>
      </c>
      <c r="J29" s="12" t="s">
        <v>94</v>
      </c>
      <c r="K29" s="12" t="s">
        <v>95</v>
      </c>
      <c r="L29" s="12" t="s">
        <v>96</v>
      </c>
      <c r="M29" s="11" t="s">
        <v>88</v>
      </c>
    </row>
    <row r="30" customFormat="false" ht="28.35" hidden="false" customHeight="false" outlineLevel="0" collapsed="false">
      <c r="A30" s="11" t="s">
        <v>144</v>
      </c>
      <c r="B30" s="12" t="s">
        <v>43</v>
      </c>
      <c r="C30" s="12" t="s">
        <v>42</v>
      </c>
      <c r="D30" s="12" t="n">
        <v>26</v>
      </c>
      <c r="E30" s="12" t="s">
        <v>113</v>
      </c>
      <c r="F30" s="12" t="s">
        <v>132</v>
      </c>
      <c r="G30" s="12" t="s">
        <v>145</v>
      </c>
      <c r="H30" s="12" t="s">
        <v>83</v>
      </c>
      <c r="I30" s="12" t="s">
        <v>93</v>
      </c>
      <c r="J30" s="12" t="s">
        <v>94</v>
      </c>
      <c r="K30" s="12" t="s">
        <v>95</v>
      </c>
      <c r="L30" s="12" t="s">
        <v>96</v>
      </c>
      <c r="M30" s="11" t="s">
        <v>88</v>
      </c>
    </row>
    <row r="31" customFormat="false" ht="28.35" hidden="false" customHeight="false" outlineLevel="0" collapsed="false">
      <c r="A31" s="11" t="s">
        <v>146</v>
      </c>
      <c r="B31" s="12" t="s">
        <v>43</v>
      </c>
      <c r="C31" s="12" t="s">
        <v>42</v>
      </c>
      <c r="D31" s="12" t="n">
        <v>27</v>
      </c>
      <c r="E31" s="12" t="s">
        <v>113</v>
      </c>
      <c r="F31" s="12" t="s">
        <v>132</v>
      </c>
      <c r="G31" s="12" t="s">
        <v>147</v>
      </c>
      <c r="H31" s="12" t="s">
        <v>83</v>
      </c>
      <c r="I31" s="12" t="s">
        <v>93</v>
      </c>
      <c r="J31" s="12" t="s">
        <v>94</v>
      </c>
      <c r="K31" s="12" t="s">
        <v>95</v>
      </c>
      <c r="L31" s="12" t="s">
        <v>96</v>
      </c>
      <c r="M31" s="11" t="s">
        <v>88</v>
      </c>
    </row>
    <row r="32" customFormat="false" ht="28.35" hidden="false" customHeight="false" outlineLevel="0" collapsed="false">
      <c r="A32" s="11" t="s">
        <v>148</v>
      </c>
      <c r="B32" s="12" t="s">
        <v>43</v>
      </c>
      <c r="C32" s="12" t="s">
        <v>42</v>
      </c>
      <c r="D32" s="12" t="n">
        <v>28</v>
      </c>
      <c r="E32" s="12" t="s">
        <v>113</v>
      </c>
      <c r="F32" s="12" t="s">
        <v>132</v>
      </c>
      <c r="G32" s="12" t="s">
        <v>149</v>
      </c>
      <c r="H32" s="12" t="s">
        <v>83</v>
      </c>
      <c r="I32" s="12" t="s">
        <v>93</v>
      </c>
      <c r="J32" s="12" t="s">
        <v>94</v>
      </c>
      <c r="K32" s="12" t="s">
        <v>95</v>
      </c>
      <c r="L32" s="12" t="s">
        <v>96</v>
      </c>
      <c r="M32" s="11" t="s">
        <v>88</v>
      </c>
    </row>
    <row r="33" customFormat="false" ht="28.35" hidden="false" customHeight="false" outlineLevel="0" collapsed="false">
      <c r="A33" s="11" t="s">
        <v>150</v>
      </c>
      <c r="B33" s="12" t="s">
        <v>43</v>
      </c>
      <c r="C33" s="12" t="s">
        <v>42</v>
      </c>
      <c r="D33" s="12" t="n">
        <v>29</v>
      </c>
      <c r="E33" s="12" t="s">
        <v>113</v>
      </c>
      <c r="F33" s="12" t="s">
        <v>132</v>
      </c>
      <c r="G33" s="12" t="s">
        <v>151</v>
      </c>
      <c r="H33" s="12" t="s">
        <v>83</v>
      </c>
      <c r="I33" s="12" t="s">
        <v>93</v>
      </c>
      <c r="J33" s="12" t="s">
        <v>94</v>
      </c>
      <c r="K33" s="12" t="s">
        <v>95</v>
      </c>
      <c r="L33" s="12" t="s">
        <v>96</v>
      </c>
      <c r="M33" s="11" t="s">
        <v>88</v>
      </c>
    </row>
    <row r="34" customFormat="false" ht="28.35" hidden="false" customHeight="false" outlineLevel="0" collapsed="false">
      <c r="A34" s="11" t="s">
        <v>152</v>
      </c>
      <c r="B34" s="12" t="s">
        <v>43</v>
      </c>
      <c r="C34" s="12" t="s">
        <v>42</v>
      </c>
      <c r="D34" s="12" t="n">
        <v>30</v>
      </c>
      <c r="E34" s="12" t="s">
        <v>113</v>
      </c>
      <c r="F34" s="12" t="s">
        <v>132</v>
      </c>
      <c r="G34" s="12" t="s">
        <v>153</v>
      </c>
      <c r="H34" s="12" t="s">
        <v>83</v>
      </c>
      <c r="I34" s="12" t="s">
        <v>93</v>
      </c>
      <c r="J34" s="12" t="s">
        <v>94</v>
      </c>
      <c r="K34" s="12" t="s">
        <v>95</v>
      </c>
      <c r="L34" s="12" t="s">
        <v>96</v>
      </c>
      <c r="M34" s="11" t="s">
        <v>88</v>
      </c>
    </row>
    <row r="35" customFormat="false" ht="41.75" hidden="false" customHeight="false" outlineLevel="0" collapsed="false">
      <c r="A35" s="11" t="s">
        <v>154</v>
      </c>
      <c r="B35" s="12" t="s">
        <v>43</v>
      </c>
      <c r="C35" s="12" t="s">
        <v>42</v>
      </c>
      <c r="D35" s="12" t="n">
        <v>31</v>
      </c>
      <c r="E35" s="12" t="s">
        <v>113</v>
      </c>
      <c r="F35" s="12" t="s">
        <v>98</v>
      </c>
      <c r="G35" s="12" t="s">
        <v>155</v>
      </c>
      <c r="H35" s="12" t="s">
        <v>83</v>
      </c>
      <c r="I35" s="12" t="s">
        <v>93</v>
      </c>
      <c r="J35" s="12" t="s">
        <v>94</v>
      </c>
      <c r="K35" s="12" t="s">
        <v>95</v>
      </c>
      <c r="L35" s="12" t="s">
        <v>96</v>
      </c>
      <c r="M35" s="11" t="s">
        <v>88</v>
      </c>
    </row>
    <row r="36" customFormat="false" ht="28.35" hidden="false" customHeight="false" outlineLevel="0" collapsed="false">
      <c r="A36" s="11" t="s">
        <v>156</v>
      </c>
      <c r="B36" s="12" t="s">
        <v>43</v>
      </c>
      <c r="C36" s="12" t="s">
        <v>42</v>
      </c>
      <c r="D36" s="12" t="n">
        <v>32</v>
      </c>
      <c r="E36" s="12" t="s">
        <v>157</v>
      </c>
      <c r="F36" s="12" t="s">
        <v>82</v>
      </c>
      <c r="G36" s="12" t="s">
        <v>157</v>
      </c>
      <c r="H36" s="12" t="s">
        <v>83</v>
      </c>
      <c r="I36" s="12" t="s">
        <v>158</v>
      </c>
      <c r="J36" s="12" t="s">
        <v>159</v>
      </c>
      <c r="K36" s="12" t="s">
        <v>19</v>
      </c>
      <c r="L36" s="12" t="s">
        <v>87</v>
      </c>
      <c r="M36" s="11" t="s">
        <v>88</v>
      </c>
    </row>
    <row r="37" customFormat="false" ht="28.35" hidden="false" customHeight="false" outlineLevel="0" collapsed="false">
      <c r="A37" s="11" t="s">
        <v>160</v>
      </c>
      <c r="B37" s="12" t="s">
        <v>43</v>
      </c>
      <c r="C37" s="12" t="s">
        <v>42</v>
      </c>
      <c r="D37" s="12" t="n">
        <v>33</v>
      </c>
      <c r="E37" s="12" t="s">
        <v>161</v>
      </c>
      <c r="F37" s="12" t="s">
        <v>82</v>
      </c>
      <c r="G37" s="12" t="s">
        <v>161</v>
      </c>
      <c r="H37" s="12" t="s">
        <v>83</v>
      </c>
      <c r="I37" s="12" t="s">
        <v>158</v>
      </c>
      <c r="J37" s="12" t="s">
        <v>159</v>
      </c>
      <c r="K37" s="12" t="s">
        <v>19</v>
      </c>
      <c r="L37" s="12" t="s">
        <v>87</v>
      </c>
      <c r="M37" s="11" t="s">
        <v>88</v>
      </c>
    </row>
    <row r="38" customFormat="false" ht="41.75" hidden="false" customHeight="false" outlineLevel="0" collapsed="false">
      <c r="A38" s="11" t="s">
        <v>162</v>
      </c>
      <c r="B38" s="12" t="s">
        <v>43</v>
      </c>
      <c r="C38" s="12" t="s">
        <v>42</v>
      </c>
      <c r="D38" s="12" t="n">
        <v>34</v>
      </c>
      <c r="E38" s="12" t="s">
        <v>161</v>
      </c>
      <c r="F38" s="12" t="s">
        <v>132</v>
      </c>
      <c r="G38" s="12" t="s">
        <v>163</v>
      </c>
      <c r="H38" s="12" t="s">
        <v>83</v>
      </c>
      <c r="I38" s="12" t="s">
        <v>164</v>
      </c>
      <c r="J38" s="12" t="s">
        <v>165</v>
      </c>
      <c r="K38" s="12" t="s">
        <v>16</v>
      </c>
      <c r="L38" s="12" t="s">
        <v>87</v>
      </c>
      <c r="M38" s="11" t="s">
        <v>88</v>
      </c>
    </row>
    <row r="39" customFormat="false" ht="28.35" hidden="false" customHeight="false" outlineLevel="0" collapsed="false">
      <c r="A39" s="11" t="s">
        <v>166</v>
      </c>
      <c r="B39" s="12" t="s">
        <v>43</v>
      </c>
      <c r="C39" s="12" t="s">
        <v>42</v>
      </c>
      <c r="D39" s="12" t="n">
        <v>35</v>
      </c>
      <c r="E39" s="12" t="s">
        <v>161</v>
      </c>
      <c r="F39" s="12" t="s">
        <v>132</v>
      </c>
      <c r="G39" s="12" t="s">
        <v>167</v>
      </c>
      <c r="H39" s="12" t="s">
        <v>83</v>
      </c>
      <c r="I39" s="12" t="s">
        <v>168</v>
      </c>
      <c r="J39" s="12" t="s">
        <v>169</v>
      </c>
      <c r="K39" s="12" t="s">
        <v>31</v>
      </c>
      <c r="L39" s="12" t="s">
        <v>96</v>
      </c>
      <c r="M39" s="11" t="s">
        <v>170</v>
      </c>
    </row>
    <row r="40" customFormat="false" ht="95.5" hidden="false" customHeight="false" outlineLevel="0" collapsed="false">
      <c r="A40" s="11" t="s">
        <v>171</v>
      </c>
      <c r="B40" s="12" t="s">
        <v>43</v>
      </c>
      <c r="C40" s="12" t="s">
        <v>42</v>
      </c>
      <c r="D40" s="12" t="n">
        <v>36</v>
      </c>
      <c r="E40" s="12" t="s">
        <v>161</v>
      </c>
      <c r="F40" s="12" t="s">
        <v>98</v>
      </c>
      <c r="G40" s="12" t="s">
        <v>172</v>
      </c>
      <c r="H40" s="12" t="s">
        <v>83</v>
      </c>
      <c r="I40" s="12" t="s">
        <v>168</v>
      </c>
      <c r="J40" s="12" t="s">
        <v>169</v>
      </c>
      <c r="K40" s="12" t="s">
        <v>31</v>
      </c>
      <c r="L40" s="12" t="s">
        <v>96</v>
      </c>
      <c r="M40" s="11" t="s">
        <v>170</v>
      </c>
    </row>
    <row r="41" customFormat="false" ht="41.75" hidden="false" customHeight="false" outlineLevel="0" collapsed="false">
      <c r="A41" s="11" t="s">
        <v>173</v>
      </c>
      <c r="B41" s="12" t="s">
        <v>43</v>
      </c>
      <c r="C41" s="12" t="s">
        <v>42</v>
      </c>
      <c r="D41" s="12" t="n">
        <v>37</v>
      </c>
      <c r="E41" s="12" t="s">
        <v>161</v>
      </c>
      <c r="F41" s="12" t="s">
        <v>98</v>
      </c>
      <c r="G41" s="12" t="s">
        <v>174</v>
      </c>
      <c r="H41" s="12" t="s">
        <v>83</v>
      </c>
      <c r="I41" s="12" t="s">
        <v>175</v>
      </c>
      <c r="J41" s="12" t="s">
        <v>176</v>
      </c>
      <c r="K41" s="12" t="s">
        <v>22</v>
      </c>
      <c r="L41" s="12" t="s">
        <v>96</v>
      </c>
      <c r="M41" s="11" t="s">
        <v>88</v>
      </c>
    </row>
    <row r="42" customFormat="false" ht="28.35" hidden="false" customHeight="false" outlineLevel="0" collapsed="false">
      <c r="A42" s="11" t="s">
        <v>177</v>
      </c>
      <c r="B42" s="12" t="s">
        <v>43</v>
      </c>
      <c r="C42" s="12" t="s">
        <v>42</v>
      </c>
      <c r="D42" s="12" t="n">
        <v>38</v>
      </c>
      <c r="E42" s="12" t="s">
        <v>161</v>
      </c>
      <c r="F42" s="12" t="s">
        <v>132</v>
      </c>
      <c r="G42" s="12" t="s">
        <v>178</v>
      </c>
      <c r="H42" s="12" t="s">
        <v>83</v>
      </c>
      <c r="I42" s="12" t="s">
        <v>164</v>
      </c>
      <c r="J42" s="12" t="s">
        <v>165</v>
      </c>
      <c r="K42" s="12" t="s">
        <v>16</v>
      </c>
      <c r="L42" s="12" t="s">
        <v>87</v>
      </c>
      <c r="M42" s="11" t="s">
        <v>88</v>
      </c>
    </row>
    <row r="43" customFormat="false" ht="28.35" hidden="false" customHeight="false" outlineLevel="0" collapsed="false">
      <c r="A43" s="11" t="s">
        <v>179</v>
      </c>
      <c r="B43" s="12" t="s">
        <v>43</v>
      </c>
      <c r="C43" s="12" t="s">
        <v>42</v>
      </c>
      <c r="D43" s="12" t="n">
        <v>39</v>
      </c>
      <c r="E43" s="12" t="s">
        <v>180</v>
      </c>
      <c r="F43" s="12" t="s">
        <v>82</v>
      </c>
      <c r="G43" s="12" t="s">
        <v>180</v>
      </c>
      <c r="H43" s="12" t="s">
        <v>83</v>
      </c>
      <c r="I43" s="12" t="s">
        <v>84</v>
      </c>
      <c r="J43" s="12" t="s">
        <v>85</v>
      </c>
      <c r="K43" s="12" t="s">
        <v>86</v>
      </c>
      <c r="L43" s="12" t="s">
        <v>87</v>
      </c>
      <c r="M43" s="11" t="s">
        <v>88</v>
      </c>
    </row>
    <row r="44" customFormat="false" ht="28.35" hidden="false" customHeight="false" outlineLevel="0" collapsed="false">
      <c r="A44" s="11" t="s">
        <v>181</v>
      </c>
      <c r="B44" s="12" t="s">
        <v>43</v>
      </c>
      <c r="C44" s="12" t="s">
        <v>42</v>
      </c>
      <c r="D44" s="12" t="n">
        <v>40</v>
      </c>
      <c r="E44" s="12" t="s">
        <v>180</v>
      </c>
      <c r="F44" s="12" t="s">
        <v>132</v>
      </c>
      <c r="G44" s="12" t="s">
        <v>182</v>
      </c>
      <c r="H44" s="12" t="s">
        <v>83</v>
      </c>
      <c r="I44" s="12" t="s">
        <v>84</v>
      </c>
      <c r="J44" s="12" t="s">
        <v>85</v>
      </c>
      <c r="K44" s="12" t="s">
        <v>86</v>
      </c>
      <c r="L44" s="12" t="s">
        <v>87</v>
      </c>
      <c r="M44" s="11" t="s">
        <v>88</v>
      </c>
    </row>
    <row r="45" customFormat="false" ht="28.35" hidden="false" customHeight="false" outlineLevel="0" collapsed="false">
      <c r="A45" s="11" t="s">
        <v>183</v>
      </c>
      <c r="B45" s="12" t="s">
        <v>43</v>
      </c>
      <c r="C45" s="12" t="s">
        <v>42</v>
      </c>
      <c r="D45" s="12" t="n">
        <v>41</v>
      </c>
      <c r="E45" s="12" t="s">
        <v>180</v>
      </c>
      <c r="F45" s="12" t="s">
        <v>132</v>
      </c>
      <c r="G45" s="12" t="s">
        <v>184</v>
      </c>
      <c r="H45" s="12" t="s">
        <v>83</v>
      </c>
      <c r="I45" s="12" t="s">
        <v>84</v>
      </c>
      <c r="J45" s="12" t="s">
        <v>85</v>
      </c>
      <c r="K45" s="12" t="s">
        <v>86</v>
      </c>
      <c r="L45" s="12" t="s">
        <v>87</v>
      </c>
      <c r="M45" s="11" t="s">
        <v>88</v>
      </c>
    </row>
    <row r="46" customFormat="false" ht="28.35" hidden="false" customHeight="false" outlineLevel="0" collapsed="false">
      <c r="A46" s="11" t="s">
        <v>185</v>
      </c>
      <c r="B46" s="12" t="s">
        <v>43</v>
      </c>
      <c r="C46" s="12" t="s">
        <v>42</v>
      </c>
      <c r="D46" s="12" t="n">
        <v>42</v>
      </c>
      <c r="E46" s="12" t="s">
        <v>180</v>
      </c>
      <c r="F46" s="12" t="s">
        <v>132</v>
      </c>
      <c r="G46" s="12" t="s">
        <v>186</v>
      </c>
      <c r="H46" s="12" t="s">
        <v>83</v>
      </c>
      <c r="I46" s="12" t="s">
        <v>84</v>
      </c>
      <c r="J46" s="12" t="s">
        <v>85</v>
      </c>
      <c r="K46" s="12" t="s">
        <v>86</v>
      </c>
      <c r="L46" s="12" t="s">
        <v>87</v>
      </c>
      <c r="M46" s="11" t="s">
        <v>88</v>
      </c>
    </row>
    <row r="47" customFormat="false" ht="28.35" hidden="false" customHeight="false" outlineLevel="0" collapsed="false">
      <c r="A47" s="11" t="s">
        <v>187</v>
      </c>
      <c r="B47" s="12" t="s">
        <v>43</v>
      </c>
      <c r="C47" s="12" t="s">
        <v>42</v>
      </c>
      <c r="D47" s="12" t="n">
        <v>43</v>
      </c>
      <c r="E47" s="12" t="s">
        <v>180</v>
      </c>
      <c r="F47" s="12" t="s">
        <v>132</v>
      </c>
      <c r="G47" s="12" t="s">
        <v>188</v>
      </c>
      <c r="H47" s="12" t="s">
        <v>83</v>
      </c>
      <c r="I47" s="12" t="s">
        <v>84</v>
      </c>
      <c r="J47" s="12" t="s">
        <v>85</v>
      </c>
      <c r="K47" s="12" t="s">
        <v>86</v>
      </c>
      <c r="L47" s="12" t="s">
        <v>87</v>
      </c>
      <c r="M47" s="11" t="s">
        <v>88</v>
      </c>
    </row>
    <row r="48" customFormat="false" ht="28.35" hidden="false" customHeight="false" outlineLevel="0" collapsed="false">
      <c r="A48" s="11" t="s">
        <v>189</v>
      </c>
      <c r="B48" s="12" t="s">
        <v>43</v>
      </c>
      <c r="C48" s="12" t="s">
        <v>42</v>
      </c>
      <c r="D48" s="12" t="n">
        <v>44</v>
      </c>
      <c r="E48" s="12" t="s">
        <v>180</v>
      </c>
      <c r="F48" s="12" t="s">
        <v>132</v>
      </c>
      <c r="G48" s="12" t="s">
        <v>190</v>
      </c>
      <c r="H48" s="12" t="s">
        <v>83</v>
      </c>
      <c r="I48" s="12" t="s">
        <v>84</v>
      </c>
      <c r="J48" s="12" t="s">
        <v>85</v>
      </c>
      <c r="K48" s="12" t="s">
        <v>86</v>
      </c>
      <c r="L48" s="12" t="s">
        <v>87</v>
      </c>
      <c r="M48" s="11" t="s">
        <v>88</v>
      </c>
    </row>
    <row r="49" customFormat="false" ht="28.35" hidden="false" customHeight="false" outlineLevel="0" collapsed="false">
      <c r="A49" s="11" t="s">
        <v>191</v>
      </c>
      <c r="B49" s="12" t="s">
        <v>43</v>
      </c>
      <c r="C49" s="12" t="s">
        <v>42</v>
      </c>
      <c r="D49" s="12" t="n">
        <v>45</v>
      </c>
      <c r="E49" s="12" t="s">
        <v>180</v>
      </c>
      <c r="F49" s="12" t="s">
        <v>132</v>
      </c>
      <c r="G49" s="12" t="s">
        <v>192</v>
      </c>
      <c r="H49" s="12" t="s">
        <v>83</v>
      </c>
      <c r="I49" s="12" t="s">
        <v>84</v>
      </c>
      <c r="J49" s="12" t="s">
        <v>85</v>
      </c>
      <c r="K49" s="12" t="s">
        <v>86</v>
      </c>
      <c r="L49" s="12" t="s">
        <v>87</v>
      </c>
      <c r="M49" s="11" t="s">
        <v>88</v>
      </c>
    </row>
    <row r="50" customFormat="false" ht="28.35" hidden="false" customHeight="false" outlineLevel="0" collapsed="false">
      <c r="A50" s="11" t="s">
        <v>193</v>
      </c>
      <c r="B50" s="12" t="s">
        <v>43</v>
      </c>
      <c r="C50" s="12" t="s">
        <v>42</v>
      </c>
      <c r="D50" s="12" t="n">
        <v>46</v>
      </c>
      <c r="E50" s="12" t="s">
        <v>180</v>
      </c>
      <c r="F50" s="12" t="s">
        <v>132</v>
      </c>
      <c r="G50" s="12" t="s">
        <v>194</v>
      </c>
      <c r="H50" s="12" t="s">
        <v>83</v>
      </c>
      <c r="I50" s="12" t="s">
        <v>84</v>
      </c>
      <c r="J50" s="12" t="s">
        <v>85</v>
      </c>
      <c r="K50" s="12" t="s">
        <v>86</v>
      </c>
      <c r="L50" s="12" t="s">
        <v>87</v>
      </c>
      <c r="M50" s="11" t="s">
        <v>88</v>
      </c>
    </row>
    <row r="51" customFormat="false" ht="28.35" hidden="false" customHeight="false" outlineLevel="0" collapsed="false">
      <c r="A51" s="11" t="s">
        <v>195</v>
      </c>
      <c r="B51" s="12" t="s">
        <v>43</v>
      </c>
      <c r="C51" s="12" t="s">
        <v>42</v>
      </c>
      <c r="D51" s="12" t="n">
        <v>47</v>
      </c>
      <c r="E51" s="12" t="s">
        <v>180</v>
      </c>
      <c r="F51" s="12" t="s">
        <v>132</v>
      </c>
      <c r="G51" s="12" t="s">
        <v>196</v>
      </c>
      <c r="H51" s="12" t="s">
        <v>83</v>
      </c>
      <c r="I51" s="12" t="s">
        <v>84</v>
      </c>
      <c r="J51" s="12" t="s">
        <v>85</v>
      </c>
      <c r="K51" s="12" t="s">
        <v>86</v>
      </c>
      <c r="L51" s="12" t="s">
        <v>87</v>
      </c>
      <c r="M51" s="11" t="s">
        <v>88</v>
      </c>
    </row>
    <row r="52" customFormat="false" ht="28.35" hidden="false" customHeight="false" outlineLevel="0" collapsed="false">
      <c r="A52" s="11" t="s">
        <v>197</v>
      </c>
      <c r="B52" s="12" t="s">
        <v>43</v>
      </c>
      <c r="C52" s="12" t="s">
        <v>42</v>
      </c>
      <c r="D52" s="12" t="n">
        <v>48</v>
      </c>
      <c r="E52" s="12" t="s">
        <v>180</v>
      </c>
      <c r="F52" s="12" t="s">
        <v>132</v>
      </c>
      <c r="G52" s="12" t="s">
        <v>198</v>
      </c>
      <c r="H52" s="12" t="s">
        <v>83</v>
      </c>
      <c r="I52" s="12" t="s">
        <v>84</v>
      </c>
      <c r="J52" s="12" t="s">
        <v>85</v>
      </c>
      <c r="K52" s="12" t="s">
        <v>86</v>
      </c>
      <c r="L52" s="12" t="s">
        <v>87</v>
      </c>
      <c r="M52" s="11" t="s">
        <v>88</v>
      </c>
    </row>
    <row r="53" customFormat="false" ht="28.35" hidden="false" customHeight="false" outlineLevel="0" collapsed="false">
      <c r="A53" s="11" t="s">
        <v>199</v>
      </c>
      <c r="B53" s="12" t="s">
        <v>43</v>
      </c>
      <c r="C53" s="12" t="s">
        <v>42</v>
      </c>
      <c r="D53" s="12" t="n">
        <v>49</v>
      </c>
      <c r="E53" s="12" t="s">
        <v>180</v>
      </c>
      <c r="F53" s="12" t="s">
        <v>132</v>
      </c>
      <c r="G53" s="12" t="s">
        <v>200</v>
      </c>
      <c r="H53" s="12" t="s">
        <v>83</v>
      </c>
      <c r="I53" s="12" t="s">
        <v>84</v>
      </c>
      <c r="J53" s="12" t="s">
        <v>85</v>
      </c>
      <c r="K53" s="12" t="s">
        <v>86</v>
      </c>
      <c r="L53" s="12" t="s">
        <v>87</v>
      </c>
      <c r="M53" s="11" t="s">
        <v>88</v>
      </c>
    </row>
    <row r="54" customFormat="false" ht="28.35" hidden="false" customHeight="false" outlineLevel="0" collapsed="false">
      <c r="A54" s="11" t="s">
        <v>201</v>
      </c>
      <c r="B54" s="12" t="s">
        <v>43</v>
      </c>
      <c r="C54" s="12" t="s">
        <v>42</v>
      </c>
      <c r="D54" s="12" t="n">
        <v>50</v>
      </c>
      <c r="E54" s="12" t="s">
        <v>180</v>
      </c>
      <c r="F54" s="12" t="s">
        <v>132</v>
      </c>
      <c r="G54" s="12" t="s">
        <v>202</v>
      </c>
      <c r="H54" s="12" t="s">
        <v>83</v>
      </c>
      <c r="I54" s="12" t="s">
        <v>84</v>
      </c>
      <c r="J54" s="12" t="s">
        <v>85</v>
      </c>
      <c r="K54" s="12" t="s">
        <v>86</v>
      </c>
      <c r="L54" s="12" t="s">
        <v>87</v>
      </c>
      <c r="M54" s="11" t="s">
        <v>88</v>
      </c>
    </row>
    <row r="55" customFormat="false" ht="28.35" hidden="false" customHeight="false" outlineLevel="0" collapsed="false">
      <c r="A55" s="11" t="s">
        <v>203</v>
      </c>
      <c r="B55" s="12" t="s">
        <v>43</v>
      </c>
      <c r="C55" s="12" t="s">
        <v>42</v>
      </c>
      <c r="D55" s="12" t="n">
        <v>51</v>
      </c>
      <c r="E55" s="12" t="s">
        <v>180</v>
      </c>
      <c r="F55" s="12" t="s">
        <v>132</v>
      </c>
      <c r="G55" s="12" t="s">
        <v>204</v>
      </c>
      <c r="H55" s="12" t="s">
        <v>83</v>
      </c>
      <c r="I55" s="12" t="s">
        <v>84</v>
      </c>
      <c r="J55" s="12" t="s">
        <v>85</v>
      </c>
      <c r="K55" s="12" t="s">
        <v>86</v>
      </c>
      <c r="L55" s="12" t="s">
        <v>87</v>
      </c>
      <c r="M55" s="11" t="s">
        <v>88</v>
      </c>
    </row>
    <row r="56" customFormat="false" ht="28.35" hidden="false" customHeight="false" outlineLevel="0" collapsed="false">
      <c r="A56" s="11" t="s">
        <v>205</v>
      </c>
      <c r="B56" s="12" t="s">
        <v>43</v>
      </c>
      <c r="C56" s="12" t="s">
        <v>42</v>
      </c>
      <c r="D56" s="12" t="n">
        <v>52</v>
      </c>
      <c r="E56" s="12" t="s">
        <v>180</v>
      </c>
      <c r="F56" s="12" t="s">
        <v>132</v>
      </c>
      <c r="G56" s="12" t="s">
        <v>206</v>
      </c>
      <c r="H56" s="12" t="s">
        <v>83</v>
      </c>
      <c r="I56" s="12" t="s">
        <v>84</v>
      </c>
      <c r="J56" s="12" t="s">
        <v>85</v>
      </c>
      <c r="K56" s="12" t="s">
        <v>86</v>
      </c>
      <c r="L56" s="12" t="s">
        <v>87</v>
      </c>
      <c r="M56" s="11" t="s">
        <v>88</v>
      </c>
    </row>
    <row r="57" customFormat="false" ht="28.35" hidden="false" customHeight="false" outlineLevel="0" collapsed="false">
      <c r="A57" s="11" t="s">
        <v>207</v>
      </c>
      <c r="B57" s="12" t="s">
        <v>43</v>
      </c>
      <c r="C57" s="12" t="s">
        <v>42</v>
      </c>
      <c r="D57" s="12" t="n">
        <v>53</v>
      </c>
      <c r="E57" s="12" t="s">
        <v>180</v>
      </c>
      <c r="F57" s="12" t="s">
        <v>132</v>
      </c>
      <c r="G57" s="12" t="s">
        <v>208</v>
      </c>
      <c r="H57" s="12" t="s">
        <v>83</v>
      </c>
      <c r="I57" s="12" t="s">
        <v>84</v>
      </c>
      <c r="J57" s="12" t="s">
        <v>85</v>
      </c>
      <c r="K57" s="12" t="s">
        <v>86</v>
      </c>
      <c r="L57" s="12" t="s">
        <v>87</v>
      </c>
      <c r="M57" s="11" t="s">
        <v>88</v>
      </c>
    </row>
    <row r="58" customFormat="false" ht="28.35" hidden="false" customHeight="false" outlineLevel="0" collapsed="false">
      <c r="A58" s="11" t="s">
        <v>209</v>
      </c>
      <c r="B58" s="12" t="s">
        <v>43</v>
      </c>
      <c r="C58" s="12" t="s">
        <v>42</v>
      </c>
      <c r="D58" s="12" t="n">
        <v>54</v>
      </c>
      <c r="E58" s="12" t="s">
        <v>180</v>
      </c>
      <c r="F58" s="12" t="s">
        <v>132</v>
      </c>
      <c r="G58" s="12" t="s">
        <v>210</v>
      </c>
      <c r="H58" s="12" t="s">
        <v>83</v>
      </c>
      <c r="I58" s="12" t="s">
        <v>84</v>
      </c>
      <c r="J58" s="12" t="s">
        <v>85</v>
      </c>
      <c r="K58" s="12" t="s">
        <v>86</v>
      </c>
      <c r="L58" s="12" t="s">
        <v>87</v>
      </c>
      <c r="M58" s="11" t="s">
        <v>88</v>
      </c>
    </row>
    <row r="59" customFormat="false" ht="28.35" hidden="false" customHeight="false" outlineLevel="0" collapsed="false">
      <c r="A59" s="11" t="s">
        <v>211</v>
      </c>
      <c r="B59" s="12" t="s">
        <v>43</v>
      </c>
      <c r="C59" s="12" t="s">
        <v>42</v>
      </c>
      <c r="D59" s="12" t="n">
        <v>55</v>
      </c>
      <c r="E59" s="12" t="s">
        <v>180</v>
      </c>
      <c r="F59" s="12" t="s">
        <v>132</v>
      </c>
      <c r="G59" s="12" t="s">
        <v>212</v>
      </c>
      <c r="H59" s="12" t="s">
        <v>83</v>
      </c>
      <c r="I59" s="12" t="s">
        <v>84</v>
      </c>
      <c r="J59" s="12" t="s">
        <v>85</v>
      </c>
      <c r="K59" s="12" t="s">
        <v>86</v>
      </c>
      <c r="L59" s="12" t="s">
        <v>87</v>
      </c>
      <c r="M59" s="11" t="s">
        <v>88</v>
      </c>
    </row>
    <row r="60" customFormat="false" ht="28.35" hidden="false" customHeight="false" outlineLevel="0" collapsed="false">
      <c r="A60" s="11" t="s">
        <v>213</v>
      </c>
      <c r="B60" s="12" t="s">
        <v>43</v>
      </c>
      <c r="C60" s="12" t="s">
        <v>42</v>
      </c>
      <c r="D60" s="12" t="n">
        <v>56</v>
      </c>
      <c r="E60" s="12" t="s">
        <v>180</v>
      </c>
      <c r="F60" s="12" t="s">
        <v>132</v>
      </c>
      <c r="G60" s="12" t="s">
        <v>214</v>
      </c>
      <c r="H60" s="12" t="s">
        <v>83</v>
      </c>
      <c r="I60" s="12" t="s">
        <v>84</v>
      </c>
      <c r="J60" s="12" t="s">
        <v>85</v>
      </c>
      <c r="K60" s="12" t="s">
        <v>86</v>
      </c>
      <c r="L60" s="12" t="s">
        <v>87</v>
      </c>
      <c r="M60" s="11" t="s">
        <v>88</v>
      </c>
    </row>
    <row r="61" customFormat="false" ht="41.75" hidden="false" customHeight="false" outlineLevel="0" collapsed="false">
      <c r="A61" s="11" t="s">
        <v>215</v>
      </c>
      <c r="B61" s="12" t="s">
        <v>43</v>
      </c>
      <c r="C61" s="12" t="s">
        <v>42</v>
      </c>
      <c r="D61" s="12" t="n">
        <v>57</v>
      </c>
      <c r="E61" s="12" t="s">
        <v>180</v>
      </c>
      <c r="F61" s="12" t="s">
        <v>132</v>
      </c>
      <c r="G61" s="12" t="s">
        <v>216</v>
      </c>
      <c r="H61" s="12" t="s">
        <v>83</v>
      </c>
      <c r="I61" s="12" t="s">
        <v>84</v>
      </c>
      <c r="J61" s="12" t="s">
        <v>85</v>
      </c>
      <c r="K61" s="12" t="s">
        <v>86</v>
      </c>
      <c r="L61" s="12" t="s">
        <v>87</v>
      </c>
      <c r="M61" s="11" t="s">
        <v>88</v>
      </c>
    </row>
    <row r="62" customFormat="false" ht="28.35" hidden="false" customHeight="false" outlineLevel="0" collapsed="false">
      <c r="A62" s="11" t="s">
        <v>217</v>
      </c>
      <c r="B62" s="12" t="s">
        <v>43</v>
      </c>
      <c r="C62" s="12" t="s">
        <v>42</v>
      </c>
      <c r="D62" s="12" t="n">
        <v>58</v>
      </c>
      <c r="E62" s="12" t="s">
        <v>180</v>
      </c>
      <c r="F62" s="12" t="s">
        <v>132</v>
      </c>
      <c r="G62" s="12" t="s">
        <v>218</v>
      </c>
      <c r="H62" s="12" t="s">
        <v>83</v>
      </c>
      <c r="I62" s="12" t="s">
        <v>84</v>
      </c>
      <c r="J62" s="12" t="s">
        <v>85</v>
      </c>
      <c r="K62" s="12" t="s">
        <v>86</v>
      </c>
      <c r="L62" s="12" t="s">
        <v>87</v>
      </c>
      <c r="M62" s="11" t="s">
        <v>88</v>
      </c>
    </row>
    <row r="63" customFormat="false" ht="28.35" hidden="false" customHeight="false" outlineLevel="0" collapsed="false">
      <c r="A63" s="11" t="s">
        <v>219</v>
      </c>
      <c r="B63" s="12" t="s">
        <v>43</v>
      </c>
      <c r="C63" s="12" t="s">
        <v>42</v>
      </c>
      <c r="D63" s="12" t="n">
        <v>59</v>
      </c>
      <c r="E63" s="12" t="s">
        <v>220</v>
      </c>
      <c r="F63" s="12" t="s">
        <v>82</v>
      </c>
      <c r="G63" s="12" t="s">
        <v>220</v>
      </c>
      <c r="H63" s="12" t="s">
        <v>83</v>
      </c>
      <c r="I63" s="12" t="s">
        <v>84</v>
      </c>
      <c r="J63" s="12" t="s">
        <v>85</v>
      </c>
      <c r="K63" s="12" t="s">
        <v>86</v>
      </c>
      <c r="L63" s="12" t="s">
        <v>87</v>
      </c>
      <c r="M63" s="11" t="s">
        <v>88</v>
      </c>
    </row>
    <row r="64" customFormat="false" ht="28.35" hidden="false" customHeight="false" outlineLevel="0" collapsed="false">
      <c r="A64" s="11" t="s">
        <v>221</v>
      </c>
      <c r="B64" s="12" t="s">
        <v>43</v>
      </c>
      <c r="C64" s="12" t="s">
        <v>42</v>
      </c>
      <c r="D64" s="12" t="n">
        <v>60</v>
      </c>
      <c r="E64" s="12" t="s">
        <v>220</v>
      </c>
      <c r="F64" s="12" t="s">
        <v>132</v>
      </c>
      <c r="G64" s="12" t="s">
        <v>222</v>
      </c>
      <c r="H64" s="12" t="s">
        <v>83</v>
      </c>
      <c r="I64" s="12" t="s">
        <v>84</v>
      </c>
      <c r="J64" s="12" t="s">
        <v>85</v>
      </c>
      <c r="K64" s="12" t="s">
        <v>86</v>
      </c>
      <c r="L64" s="12" t="s">
        <v>87</v>
      </c>
      <c r="M64" s="11" t="s">
        <v>88</v>
      </c>
    </row>
    <row r="65" customFormat="false" ht="28.35" hidden="false" customHeight="false" outlineLevel="0" collapsed="false">
      <c r="A65" s="11" t="s">
        <v>223</v>
      </c>
      <c r="B65" s="12" t="s">
        <v>43</v>
      </c>
      <c r="C65" s="12" t="s">
        <v>42</v>
      </c>
      <c r="D65" s="12" t="n">
        <v>61</v>
      </c>
      <c r="E65" s="12" t="s">
        <v>220</v>
      </c>
      <c r="F65" s="12" t="s">
        <v>132</v>
      </c>
      <c r="G65" s="12" t="s">
        <v>224</v>
      </c>
      <c r="H65" s="12" t="s">
        <v>83</v>
      </c>
      <c r="I65" s="12" t="s">
        <v>84</v>
      </c>
      <c r="J65" s="12" t="s">
        <v>85</v>
      </c>
      <c r="K65" s="12" t="s">
        <v>86</v>
      </c>
      <c r="L65" s="12" t="s">
        <v>87</v>
      </c>
      <c r="M65" s="11" t="s">
        <v>88</v>
      </c>
    </row>
    <row r="66" customFormat="false" ht="28.35" hidden="false" customHeight="false" outlineLevel="0" collapsed="false">
      <c r="A66" s="11" t="s">
        <v>225</v>
      </c>
      <c r="B66" s="12" t="s">
        <v>43</v>
      </c>
      <c r="C66" s="12" t="s">
        <v>42</v>
      </c>
      <c r="D66" s="12" t="n">
        <v>62</v>
      </c>
      <c r="E66" s="12" t="s">
        <v>220</v>
      </c>
      <c r="F66" s="12" t="s">
        <v>132</v>
      </c>
      <c r="G66" s="12" t="s">
        <v>226</v>
      </c>
      <c r="H66" s="12" t="s">
        <v>83</v>
      </c>
      <c r="I66" s="12" t="s">
        <v>84</v>
      </c>
      <c r="J66" s="12" t="s">
        <v>85</v>
      </c>
      <c r="K66" s="12" t="s">
        <v>86</v>
      </c>
      <c r="L66" s="12" t="s">
        <v>87</v>
      </c>
      <c r="M66" s="11" t="s">
        <v>88</v>
      </c>
    </row>
    <row r="67" customFormat="false" ht="28.35" hidden="false" customHeight="false" outlineLevel="0" collapsed="false">
      <c r="A67" s="11" t="s">
        <v>227</v>
      </c>
      <c r="B67" s="12" t="s">
        <v>43</v>
      </c>
      <c r="C67" s="12" t="s">
        <v>42</v>
      </c>
      <c r="D67" s="12" t="n">
        <v>63</v>
      </c>
      <c r="E67" s="12" t="s">
        <v>220</v>
      </c>
      <c r="F67" s="12" t="s">
        <v>132</v>
      </c>
      <c r="G67" s="12" t="s">
        <v>228</v>
      </c>
      <c r="H67" s="12" t="s">
        <v>83</v>
      </c>
      <c r="I67" s="12" t="s">
        <v>84</v>
      </c>
      <c r="J67" s="12" t="s">
        <v>85</v>
      </c>
      <c r="K67" s="12" t="s">
        <v>86</v>
      </c>
      <c r="L67" s="12" t="s">
        <v>87</v>
      </c>
      <c r="M67" s="11" t="s">
        <v>88</v>
      </c>
    </row>
    <row r="68" customFormat="false" ht="28.35" hidden="false" customHeight="false" outlineLevel="0" collapsed="false">
      <c r="A68" s="11" t="s">
        <v>229</v>
      </c>
      <c r="B68" s="12" t="s">
        <v>43</v>
      </c>
      <c r="C68" s="12" t="s">
        <v>42</v>
      </c>
      <c r="D68" s="12" t="n">
        <v>64</v>
      </c>
      <c r="E68" s="12" t="s">
        <v>230</v>
      </c>
      <c r="F68" s="12" t="s">
        <v>82</v>
      </c>
      <c r="G68" s="12" t="s">
        <v>230</v>
      </c>
      <c r="H68" s="12" t="s">
        <v>126</v>
      </c>
      <c r="I68" s="12" t="s">
        <v>158</v>
      </c>
      <c r="J68" s="12" t="s">
        <v>159</v>
      </c>
      <c r="K68" s="12" t="s">
        <v>19</v>
      </c>
      <c r="L68" s="12" t="s">
        <v>87</v>
      </c>
      <c r="M68" s="11" t="s">
        <v>88</v>
      </c>
    </row>
    <row r="69" customFormat="false" ht="28.35" hidden="false" customHeight="false" outlineLevel="0" collapsed="false">
      <c r="A69" s="11" t="s">
        <v>231</v>
      </c>
      <c r="B69" s="12" t="s">
        <v>43</v>
      </c>
      <c r="C69" s="12" t="s">
        <v>42</v>
      </c>
      <c r="D69" s="12" t="n">
        <v>65</v>
      </c>
      <c r="E69" s="12" t="s">
        <v>230</v>
      </c>
      <c r="F69" s="12" t="s">
        <v>132</v>
      </c>
      <c r="G69" s="12" t="s">
        <v>232</v>
      </c>
      <c r="H69" s="12" t="s">
        <v>126</v>
      </c>
      <c r="I69" s="12" t="s">
        <v>164</v>
      </c>
      <c r="J69" s="12" t="s">
        <v>165</v>
      </c>
      <c r="K69" s="12" t="s">
        <v>16</v>
      </c>
      <c r="L69" s="12" t="s">
        <v>87</v>
      </c>
      <c r="M69" s="11" t="s">
        <v>88</v>
      </c>
    </row>
    <row r="70" customFormat="false" ht="28.35" hidden="false" customHeight="false" outlineLevel="0" collapsed="false">
      <c r="A70" s="11" t="s">
        <v>233</v>
      </c>
      <c r="B70" s="12" t="s">
        <v>43</v>
      </c>
      <c r="C70" s="12" t="s">
        <v>42</v>
      </c>
      <c r="D70" s="12" t="n">
        <v>66</v>
      </c>
      <c r="E70" s="12" t="s">
        <v>230</v>
      </c>
      <c r="F70" s="12" t="s">
        <v>132</v>
      </c>
      <c r="G70" s="12" t="s">
        <v>234</v>
      </c>
      <c r="H70" s="12" t="s">
        <v>126</v>
      </c>
      <c r="I70" s="12" t="s">
        <v>164</v>
      </c>
      <c r="J70" s="12" t="s">
        <v>165</v>
      </c>
      <c r="K70" s="12" t="s">
        <v>16</v>
      </c>
      <c r="L70" s="12" t="s">
        <v>87</v>
      </c>
      <c r="M70" s="11" t="s">
        <v>88</v>
      </c>
    </row>
    <row r="71" customFormat="false" ht="28.35" hidden="false" customHeight="false" outlineLevel="0" collapsed="false">
      <c r="A71" s="11" t="s">
        <v>235</v>
      </c>
      <c r="B71" s="12" t="s">
        <v>43</v>
      </c>
      <c r="C71" s="12" t="s">
        <v>42</v>
      </c>
      <c r="D71" s="12" t="n">
        <v>67</v>
      </c>
      <c r="E71" s="12" t="s">
        <v>230</v>
      </c>
      <c r="F71" s="12" t="s">
        <v>132</v>
      </c>
      <c r="G71" s="12" t="s">
        <v>236</v>
      </c>
      <c r="H71" s="12" t="s">
        <v>126</v>
      </c>
      <c r="I71" s="12" t="s">
        <v>164</v>
      </c>
      <c r="J71" s="12" t="s">
        <v>165</v>
      </c>
      <c r="K71" s="12" t="s">
        <v>16</v>
      </c>
      <c r="L71" s="12" t="s">
        <v>87</v>
      </c>
      <c r="M71" s="11" t="s">
        <v>88</v>
      </c>
    </row>
    <row r="72" customFormat="false" ht="28.35" hidden="false" customHeight="false" outlineLevel="0" collapsed="false">
      <c r="A72" s="11" t="s">
        <v>237</v>
      </c>
      <c r="B72" s="12" t="s">
        <v>43</v>
      </c>
      <c r="C72" s="12" t="s">
        <v>42</v>
      </c>
      <c r="D72" s="12" t="n">
        <v>68</v>
      </c>
      <c r="E72" s="12" t="s">
        <v>230</v>
      </c>
      <c r="F72" s="12" t="s">
        <v>132</v>
      </c>
      <c r="G72" s="12" t="s">
        <v>238</v>
      </c>
      <c r="H72" s="12" t="s">
        <v>126</v>
      </c>
      <c r="I72" s="12" t="s">
        <v>164</v>
      </c>
      <c r="J72" s="12" t="s">
        <v>165</v>
      </c>
      <c r="K72" s="12" t="s">
        <v>16</v>
      </c>
      <c r="L72" s="12" t="s">
        <v>87</v>
      </c>
      <c r="M72" s="11" t="s">
        <v>88</v>
      </c>
    </row>
    <row r="73" customFormat="false" ht="28.35" hidden="false" customHeight="false" outlineLevel="0" collapsed="false">
      <c r="A73" s="11" t="s">
        <v>239</v>
      </c>
      <c r="B73" s="12" t="s">
        <v>43</v>
      </c>
      <c r="C73" s="12" t="s">
        <v>42</v>
      </c>
      <c r="D73" s="12" t="n">
        <v>69</v>
      </c>
      <c r="E73" s="12" t="s">
        <v>240</v>
      </c>
      <c r="F73" s="12" t="s">
        <v>82</v>
      </c>
      <c r="G73" s="12" t="s">
        <v>240</v>
      </c>
      <c r="H73" s="12" t="s">
        <v>126</v>
      </c>
      <c r="I73" s="12" t="s">
        <v>158</v>
      </c>
      <c r="J73" s="12" t="s">
        <v>159</v>
      </c>
      <c r="K73" s="12" t="s">
        <v>19</v>
      </c>
      <c r="L73" s="12" t="s">
        <v>87</v>
      </c>
      <c r="M73" s="11" t="s">
        <v>88</v>
      </c>
    </row>
    <row r="74" customFormat="false" ht="41.75" hidden="false" customHeight="false" outlineLevel="0" collapsed="false">
      <c r="A74" s="11" t="s">
        <v>241</v>
      </c>
      <c r="B74" s="12" t="s">
        <v>43</v>
      </c>
      <c r="C74" s="12" t="s">
        <v>42</v>
      </c>
      <c r="D74" s="12" t="n">
        <v>70</v>
      </c>
      <c r="E74" s="12" t="s">
        <v>240</v>
      </c>
      <c r="F74" s="12" t="s">
        <v>132</v>
      </c>
      <c r="G74" s="12" t="s">
        <v>242</v>
      </c>
      <c r="H74" s="12" t="s">
        <v>126</v>
      </c>
      <c r="I74" s="12" t="s">
        <v>164</v>
      </c>
      <c r="J74" s="12" t="s">
        <v>165</v>
      </c>
      <c r="K74" s="12" t="s">
        <v>16</v>
      </c>
      <c r="L74" s="12" t="s">
        <v>87</v>
      </c>
      <c r="M74" s="11" t="s">
        <v>88</v>
      </c>
    </row>
    <row r="75" customFormat="false" ht="28.35" hidden="false" customHeight="false" outlineLevel="0" collapsed="false">
      <c r="A75" s="11" t="s">
        <v>243</v>
      </c>
      <c r="B75" s="12" t="s">
        <v>43</v>
      </c>
      <c r="C75" s="12" t="s">
        <v>42</v>
      </c>
      <c r="D75" s="12" t="n">
        <v>71</v>
      </c>
      <c r="E75" s="12" t="s">
        <v>240</v>
      </c>
      <c r="F75" s="12" t="s">
        <v>98</v>
      </c>
      <c r="G75" s="12" t="s">
        <v>244</v>
      </c>
      <c r="H75" s="12" t="s">
        <v>126</v>
      </c>
      <c r="I75" s="12" t="s">
        <v>175</v>
      </c>
      <c r="J75" s="12" t="s">
        <v>176</v>
      </c>
      <c r="K75" s="12" t="s">
        <v>22</v>
      </c>
      <c r="L75" s="12" t="s">
        <v>96</v>
      </c>
      <c r="M75" s="11" t="s">
        <v>88</v>
      </c>
    </row>
    <row r="76" customFormat="false" ht="28.35" hidden="false" customHeight="false" outlineLevel="0" collapsed="false">
      <c r="A76" s="11" t="s">
        <v>245</v>
      </c>
      <c r="B76" s="12" t="s">
        <v>43</v>
      </c>
      <c r="C76" s="12" t="s">
        <v>42</v>
      </c>
      <c r="D76" s="12" t="n">
        <v>72</v>
      </c>
      <c r="E76" s="12" t="s">
        <v>240</v>
      </c>
      <c r="F76" s="12" t="s">
        <v>98</v>
      </c>
      <c r="G76" s="12" t="s">
        <v>246</v>
      </c>
      <c r="H76" s="12" t="s">
        <v>126</v>
      </c>
      <c r="I76" s="12" t="s">
        <v>175</v>
      </c>
      <c r="J76" s="12" t="s">
        <v>176</v>
      </c>
      <c r="K76" s="12" t="s">
        <v>22</v>
      </c>
      <c r="L76" s="12" t="s">
        <v>96</v>
      </c>
      <c r="M76" s="11" t="s">
        <v>88</v>
      </c>
    </row>
    <row r="77" customFormat="false" ht="28.35" hidden="false" customHeight="false" outlineLevel="0" collapsed="false">
      <c r="A77" s="11" t="s">
        <v>247</v>
      </c>
      <c r="B77" s="12" t="s">
        <v>43</v>
      </c>
      <c r="C77" s="12" t="s">
        <v>42</v>
      </c>
      <c r="D77" s="12" t="n">
        <v>73</v>
      </c>
      <c r="E77" s="12" t="s">
        <v>240</v>
      </c>
      <c r="F77" s="12" t="s">
        <v>98</v>
      </c>
      <c r="G77" s="12" t="s">
        <v>248</v>
      </c>
      <c r="H77" s="12" t="s">
        <v>126</v>
      </c>
      <c r="I77" s="12" t="s">
        <v>175</v>
      </c>
      <c r="J77" s="12" t="s">
        <v>176</v>
      </c>
      <c r="K77" s="12" t="s">
        <v>22</v>
      </c>
      <c r="L77" s="12" t="s">
        <v>96</v>
      </c>
      <c r="M77" s="11" t="s">
        <v>88</v>
      </c>
    </row>
    <row r="78" customFormat="false" ht="28.35" hidden="false" customHeight="false" outlineLevel="0" collapsed="false">
      <c r="A78" s="11" t="s">
        <v>249</v>
      </c>
      <c r="B78" s="12" t="s">
        <v>43</v>
      </c>
      <c r="C78" s="12" t="s">
        <v>42</v>
      </c>
      <c r="D78" s="12" t="n">
        <v>74</v>
      </c>
      <c r="E78" s="12" t="s">
        <v>240</v>
      </c>
      <c r="F78" s="12" t="s">
        <v>98</v>
      </c>
      <c r="G78" s="12" t="s">
        <v>250</v>
      </c>
      <c r="H78" s="12" t="s">
        <v>126</v>
      </c>
      <c r="I78" s="12" t="s">
        <v>175</v>
      </c>
      <c r="J78" s="12" t="s">
        <v>176</v>
      </c>
      <c r="K78" s="12" t="s">
        <v>22</v>
      </c>
      <c r="L78" s="12" t="s">
        <v>96</v>
      </c>
      <c r="M78" s="11" t="s">
        <v>88</v>
      </c>
    </row>
    <row r="79" customFormat="false" ht="28.35" hidden="false" customHeight="false" outlineLevel="0" collapsed="false">
      <c r="A79" s="11" t="s">
        <v>251</v>
      </c>
      <c r="B79" s="12" t="s">
        <v>43</v>
      </c>
      <c r="C79" s="12" t="s">
        <v>42</v>
      </c>
      <c r="D79" s="12" t="n">
        <v>75</v>
      </c>
      <c r="E79" s="12" t="s">
        <v>240</v>
      </c>
      <c r="F79" s="12" t="s">
        <v>98</v>
      </c>
      <c r="G79" s="12" t="s">
        <v>252</v>
      </c>
      <c r="H79" s="12" t="s">
        <v>126</v>
      </c>
      <c r="I79" s="12" t="s">
        <v>175</v>
      </c>
      <c r="J79" s="12" t="s">
        <v>176</v>
      </c>
      <c r="K79" s="12" t="s">
        <v>22</v>
      </c>
      <c r="L79" s="12" t="s">
        <v>96</v>
      </c>
      <c r="M79" s="11" t="s">
        <v>88</v>
      </c>
    </row>
    <row r="80" customFormat="false" ht="28.35" hidden="false" customHeight="false" outlineLevel="0" collapsed="false">
      <c r="A80" s="11" t="s">
        <v>253</v>
      </c>
      <c r="B80" s="12" t="s">
        <v>43</v>
      </c>
      <c r="C80" s="12" t="s">
        <v>42</v>
      </c>
      <c r="D80" s="12" t="n">
        <v>76</v>
      </c>
      <c r="E80" s="12" t="s">
        <v>240</v>
      </c>
      <c r="F80" s="12" t="s">
        <v>132</v>
      </c>
      <c r="G80" s="12" t="s">
        <v>254</v>
      </c>
      <c r="H80" s="12" t="s">
        <v>126</v>
      </c>
      <c r="I80" s="12" t="s">
        <v>84</v>
      </c>
      <c r="J80" s="12" t="s">
        <v>85</v>
      </c>
      <c r="K80" s="12" t="s">
        <v>86</v>
      </c>
      <c r="L80" s="12" t="s">
        <v>87</v>
      </c>
      <c r="M80" s="11" t="s">
        <v>88</v>
      </c>
    </row>
    <row r="81" customFormat="false" ht="28.35" hidden="false" customHeight="false" outlineLevel="0" collapsed="false">
      <c r="A81" s="11" t="s">
        <v>255</v>
      </c>
      <c r="B81" s="12" t="s">
        <v>43</v>
      </c>
      <c r="C81" s="12" t="s">
        <v>42</v>
      </c>
      <c r="D81" s="12" t="n">
        <v>77</v>
      </c>
      <c r="E81" s="12" t="s">
        <v>240</v>
      </c>
      <c r="F81" s="12" t="s">
        <v>132</v>
      </c>
      <c r="G81" s="12" t="s">
        <v>256</v>
      </c>
      <c r="H81" s="12" t="s">
        <v>126</v>
      </c>
      <c r="I81" s="12" t="s">
        <v>84</v>
      </c>
      <c r="J81" s="12" t="s">
        <v>85</v>
      </c>
      <c r="K81" s="12" t="s">
        <v>86</v>
      </c>
      <c r="L81" s="12" t="s">
        <v>87</v>
      </c>
      <c r="M81" s="11" t="s">
        <v>88</v>
      </c>
    </row>
    <row r="82" customFormat="false" ht="28.35" hidden="false" customHeight="false" outlineLevel="0" collapsed="false">
      <c r="A82" s="11" t="s">
        <v>257</v>
      </c>
      <c r="B82" s="12" t="s">
        <v>46</v>
      </c>
      <c r="C82" s="12" t="s">
        <v>45</v>
      </c>
      <c r="D82" s="12" t="n">
        <v>1</v>
      </c>
      <c r="E82" s="12" t="s">
        <v>258</v>
      </c>
      <c r="F82" s="12" t="s">
        <v>82</v>
      </c>
      <c r="G82" s="12" t="s">
        <v>258</v>
      </c>
      <c r="H82" s="12" t="s">
        <v>259</v>
      </c>
      <c r="I82" s="12" t="s">
        <v>158</v>
      </c>
      <c r="J82" s="12" t="s">
        <v>159</v>
      </c>
      <c r="K82" s="12" t="s">
        <v>19</v>
      </c>
      <c r="L82" s="12" t="s">
        <v>87</v>
      </c>
      <c r="M82" s="11" t="s">
        <v>88</v>
      </c>
    </row>
    <row r="83" customFormat="false" ht="28.35" hidden="false" customHeight="false" outlineLevel="0" collapsed="false">
      <c r="A83" s="11" t="s">
        <v>260</v>
      </c>
      <c r="B83" s="12" t="s">
        <v>46</v>
      </c>
      <c r="C83" s="12" t="s">
        <v>45</v>
      </c>
      <c r="D83" s="12" t="n">
        <v>2</v>
      </c>
      <c r="E83" s="12" t="s">
        <v>261</v>
      </c>
      <c r="F83" s="12" t="s">
        <v>82</v>
      </c>
      <c r="G83" s="12" t="s">
        <v>261</v>
      </c>
      <c r="H83" s="12" t="s">
        <v>259</v>
      </c>
      <c r="I83" s="12" t="s">
        <v>158</v>
      </c>
      <c r="J83" s="12" t="s">
        <v>159</v>
      </c>
      <c r="K83" s="12" t="s">
        <v>19</v>
      </c>
      <c r="L83" s="12" t="s">
        <v>87</v>
      </c>
      <c r="M83" s="11" t="s">
        <v>88</v>
      </c>
    </row>
    <row r="84" customFormat="false" ht="28.35" hidden="false" customHeight="false" outlineLevel="0" collapsed="false">
      <c r="A84" s="11" t="s">
        <v>262</v>
      </c>
      <c r="B84" s="12" t="s">
        <v>46</v>
      </c>
      <c r="C84" s="12" t="s">
        <v>45</v>
      </c>
      <c r="D84" s="12" t="n">
        <v>3</v>
      </c>
      <c r="E84" s="12" t="s">
        <v>92</v>
      </c>
      <c r="F84" s="12" t="s">
        <v>82</v>
      </c>
      <c r="G84" s="12" t="s">
        <v>92</v>
      </c>
      <c r="H84" s="12" t="s">
        <v>259</v>
      </c>
      <c r="I84" s="12" t="s">
        <v>93</v>
      </c>
      <c r="J84" s="12" t="s">
        <v>94</v>
      </c>
      <c r="K84" s="12" t="s">
        <v>95</v>
      </c>
      <c r="L84" s="12" t="s">
        <v>96</v>
      </c>
      <c r="M84" s="11" t="s">
        <v>88</v>
      </c>
    </row>
    <row r="85" customFormat="false" ht="28.35" hidden="false" customHeight="false" outlineLevel="0" collapsed="false">
      <c r="A85" s="11" t="s">
        <v>263</v>
      </c>
      <c r="B85" s="12" t="s">
        <v>46</v>
      </c>
      <c r="C85" s="12" t="s">
        <v>45</v>
      </c>
      <c r="D85" s="12" t="n">
        <v>4</v>
      </c>
      <c r="E85" s="12" t="s">
        <v>92</v>
      </c>
      <c r="F85" s="12" t="s">
        <v>98</v>
      </c>
      <c r="G85" s="12" t="s">
        <v>99</v>
      </c>
      <c r="H85" s="12" t="s">
        <v>259</v>
      </c>
      <c r="I85" s="12" t="s">
        <v>93</v>
      </c>
      <c r="J85" s="12" t="s">
        <v>94</v>
      </c>
      <c r="K85" s="12" t="s">
        <v>95</v>
      </c>
      <c r="L85" s="12" t="s">
        <v>96</v>
      </c>
      <c r="M85" s="11" t="s">
        <v>88</v>
      </c>
    </row>
    <row r="86" customFormat="false" ht="28.35" hidden="false" customHeight="false" outlineLevel="0" collapsed="false">
      <c r="A86" s="11" t="s">
        <v>264</v>
      </c>
      <c r="B86" s="12" t="s">
        <v>46</v>
      </c>
      <c r="C86" s="12" t="s">
        <v>45</v>
      </c>
      <c r="D86" s="12" t="n">
        <v>5</v>
      </c>
      <c r="E86" s="12" t="s">
        <v>92</v>
      </c>
      <c r="F86" s="12" t="s">
        <v>98</v>
      </c>
      <c r="G86" s="12" t="s">
        <v>101</v>
      </c>
      <c r="H86" s="12" t="s">
        <v>259</v>
      </c>
      <c r="I86" s="12" t="s">
        <v>93</v>
      </c>
      <c r="J86" s="12" t="s">
        <v>94</v>
      </c>
      <c r="K86" s="12" t="s">
        <v>95</v>
      </c>
      <c r="L86" s="12" t="s">
        <v>96</v>
      </c>
      <c r="M86" s="11" t="s">
        <v>88</v>
      </c>
    </row>
    <row r="87" customFormat="false" ht="28.35" hidden="false" customHeight="false" outlineLevel="0" collapsed="false">
      <c r="A87" s="11" t="s">
        <v>265</v>
      </c>
      <c r="B87" s="12" t="s">
        <v>46</v>
      </c>
      <c r="C87" s="12" t="s">
        <v>45</v>
      </c>
      <c r="D87" s="12" t="n">
        <v>6</v>
      </c>
      <c r="E87" s="12" t="s">
        <v>92</v>
      </c>
      <c r="F87" s="12" t="s">
        <v>98</v>
      </c>
      <c r="G87" s="12" t="s">
        <v>266</v>
      </c>
      <c r="H87" s="12" t="s">
        <v>259</v>
      </c>
      <c r="I87" s="12" t="s">
        <v>93</v>
      </c>
      <c r="J87" s="12" t="s">
        <v>94</v>
      </c>
      <c r="K87" s="12" t="s">
        <v>95</v>
      </c>
      <c r="L87" s="12" t="s">
        <v>96</v>
      </c>
      <c r="M87" s="11" t="s">
        <v>88</v>
      </c>
    </row>
    <row r="88" customFormat="false" ht="28.35" hidden="false" customHeight="false" outlineLevel="0" collapsed="false">
      <c r="A88" s="11" t="s">
        <v>267</v>
      </c>
      <c r="B88" s="12" t="s">
        <v>46</v>
      </c>
      <c r="C88" s="12" t="s">
        <v>45</v>
      </c>
      <c r="D88" s="12" t="n">
        <v>7</v>
      </c>
      <c r="E88" s="12" t="s">
        <v>92</v>
      </c>
      <c r="F88" s="12" t="s">
        <v>98</v>
      </c>
      <c r="G88" s="12" t="s">
        <v>268</v>
      </c>
      <c r="H88" s="12" t="s">
        <v>259</v>
      </c>
      <c r="I88" s="12" t="s">
        <v>93</v>
      </c>
      <c r="J88" s="12" t="s">
        <v>94</v>
      </c>
      <c r="K88" s="12" t="s">
        <v>95</v>
      </c>
      <c r="L88" s="12" t="s">
        <v>96</v>
      </c>
      <c r="M88" s="11" t="s">
        <v>88</v>
      </c>
    </row>
    <row r="89" customFormat="false" ht="28.35" hidden="false" customHeight="false" outlineLevel="0" collapsed="false">
      <c r="A89" s="11" t="s">
        <v>269</v>
      </c>
      <c r="B89" s="12" t="s">
        <v>46</v>
      </c>
      <c r="C89" s="12" t="s">
        <v>45</v>
      </c>
      <c r="D89" s="12" t="n">
        <v>8</v>
      </c>
      <c r="E89" s="12" t="s">
        <v>92</v>
      </c>
      <c r="F89" s="12" t="s">
        <v>98</v>
      </c>
      <c r="G89" s="12" t="s">
        <v>270</v>
      </c>
      <c r="H89" s="12" t="s">
        <v>259</v>
      </c>
      <c r="I89" s="12" t="s">
        <v>93</v>
      </c>
      <c r="J89" s="12" t="s">
        <v>94</v>
      </c>
      <c r="K89" s="12" t="s">
        <v>95</v>
      </c>
      <c r="L89" s="12" t="s">
        <v>96</v>
      </c>
      <c r="M89" s="11" t="s">
        <v>88</v>
      </c>
    </row>
    <row r="90" customFormat="false" ht="28.35" hidden="false" customHeight="false" outlineLevel="0" collapsed="false">
      <c r="A90" s="11" t="s">
        <v>271</v>
      </c>
      <c r="B90" s="12" t="s">
        <v>46</v>
      </c>
      <c r="C90" s="12" t="s">
        <v>45</v>
      </c>
      <c r="D90" s="12" t="n">
        <v>9</v>
      </c>
      <c r="E90" s="12" t="s">
        <v>92</v>
      </c>
      <c r="F90" s="12" t="s">
        <v>98</v>
      </c>
      <c r="G90" s="12" t="s">
        <v>272</v>
      </c>
      <c r="H90" s="12" t="s">
        <v>259</v>
      </c>
      <c r="I90" s="12" t="s">
        <v>93</v>
      </c>
      <c r="J90" s="12" t="s">
        <v>94</v>
      </c>
      <c r="K90" s="12" t="s">
        <v>95</v>
      </c>
      <c r="L90" s="12" t="s">
        <v>96</v>
      </c>
      <c r="M90" s="11" t="s">
        <v>88</v>
      </c>
    </row>
    <row r="91" customFormat="false" ht="55.2" hidden="false" customHeight="false" outlineLevel="0" collapsed="false">
      <c r="A91" s="11" t="s">
        <v>273</v>
      </c>
      <c r="B91" s="12" t="s">
        <v>46</v>
      </c>
      <c r="C91" s="12" t="s">
        <v>45</v>
      </c>
      <c r="D91" s="12" t="n">
        <v>10</v>
      </c>
      <c r="E91" s="12" t="s">
        <v>92</v>
      </c>
      <c r="F91" s="12" t="s">
        <v>98</v>
      </c>
      <c r="G91" s="12" t="s">
        <v>274</v>
      </c>
      <c r="H91" s="12" t="s">
        <v>259</v>
      </c>
      <c r="I91" s="12" t="s">
        <v>93</v>
      </c>
      <c r="J91" s="12" t="s">
        <v>94</v>
      </c>
      <c r="K91" s="12" t="s">
        <v>95</v>
      </c>
      <c r="L91" s="12" t="s">
        <v>96</v>
      </c>
      <c r="M91" s="11" t="s">
        <v>88</v>
      </c>
    </row>
    <row r="92" customFormat="false" ht="28.35" hidden="false" customHeight="false" outlineLevel="0" collapsed="false">
      <c r="A92" s="11" t="s">
        <v>275</v>
      </c>
      <c r="B92" s="12" t="s">
        <v>46</v>
      </c>
      <c r="C92" s="12" t="s">
        <v>45</v>
      </c>
      <c r="D92" s="12" t="n">
        <v>11</v>
      </c>
      <c r="E92" s="12" t="s">
        <v>113</v>
      </c>
      <c r="F92" s="12" t="s">
        <v>82</v>
      </c>
      <c r="G92" s="12" t="s">
        <v>113</v>
      </c>
      <c r="H92" s="12" t="s">
        <v>259</v>
      </c>
      <c r="I92" s="12" t="s">
        <v>93</v>
      </c>
      <c r="J92" s="12" t="s">
        <v>94</v>
      </c>
      <c r="K92" s="12" t="s">
        <v>95</v>
      </c>
      <c r="L92" s="12" t="s">
        <v>96</v>
      </c>
      <c r="M92" s="11" t="s">
        <v>88</v>
      </c>
    </row>
    <row r="93" customFormat="false" ht="28.35" hidden="false" customHeight="false" outlineLevel="0" collapsed="false">
      <c r="A93" s="11" t="s">
        <v>276</v>
      </c>
      <c r="B93" s="12" t="s">
        <v>46</v>
      </c>
      <c r="C93" s="12" t="s">
        <v>45</v>
      </c>
      <c r="D93" s="12" t="n">
        <v>12</v>
      </c>
      <c r="E93" s="12" t="s">
        <v>113</v>
      </c>
      <c r="F93" s="12" t="s">
        <v>98</v>
      </c>
      <c r="G93" s="12" t="s">
        <v>115</v>
      </c>
      <c r="H93" s="12" t="s">
        <v>259</v>
      </c>
      <c r="I93" s="12" t="s">
        <v>93</v>
      </c>
      <c r="J93" s="12" t="s">
        <v>94</v>
      </c>
      <c r="K93" s="12" t="s">
        <v>95</v>
      </c>
      <c r="L93" s="12" t="s">
        <v>96</v>
      </c>
      <c r="M93" s="11" t="s">
        <v>88</v>
      </c>
    </row>
    <row r="94" customFormat="false" ht="28.35" hidden="false" customHeight="false" outlineLevel="0" collapsed="false">
      <c r="A94" s="11" t="s">
        <v>277</v>
      </c>
      <c r="B94" s="12" t="s">
        <v>46</v>
      </c>
      <c r="C94" s="12" t="s">
        <v>45</v>
      </c>
      <c r="D94" s="12" t="n">
        <v>13</v>
      </c>
      <c r="E94" s="12" t="s">
        <v>113</v>
      </c>
      <c r="F94" s="12" t="s">
        <v>98</v>
      </c>
      <c r="G94" s="12" t="s">
        <v>117</v>
      </c>
      <c r="H94" s="12" t="s">
        <v>259</v>
      </c>
      <c r="I94" s="12" t="s">
        <v>93</v>
      </c>
      <c r="J94" s="12" t="s">
        <v>94</v>
      </c>
      <c r="K94" s="12" t="s">
        <v>95</v>
      </c>
      <c r="L94" s="12" t="s">
        <v>96</v>
      </c>
      <c r="M94" s="11" t="s">
        <v>88</v>
      </c>
    </row>
    <row r="95" customFormat="false" ht="28.35" hidden="false" customHeight="false" outlineLevel="0" collapsed="false">
      <c r="A95" s="11" t="s">
        <v>278</v>
      </c>
      <c r="B95" s="12" t="s">
        <v>46</v>
      </c>
      <c r="C95" s="12" t="s">
        <v>45</v>
      </c>
      <c r="D95" s="12" t="n">
        <v>14</v>
      </c>
      <c r="E95" s="12" t="s">
        <v>113</v>
      </c>
      <c r="F95" s="12" t="s">
        <v>98</v>
      </c>
      <c r="G95" s="12" t="s">
        <v>279</v>
      </c>
      <c r="H95" s="12" t="s">
        <v>259</v>
      </c>
      <c r="I95" s="12" t="s">
        <v>93</v>
      </c>
      <c r="J95" s="12" t="s">
        <v>94</v>
      </c>
      <c r="K95" s="12" t="s">
        <v>95</v>
      </c>
      <c r="L95" s="12" t="s">
        <v>96</v>
      </c>
      <c r="M95" s="11" t="s">
        <v>88</v>
      </c>
    </row>
    <row r="96" customFormat="false" ht="28.35" hidden="false" customHeight="false" outlineLevel="0" collapsed="false">
      <c r="A96" s="11" t="s">
        <v>280</v>
      </c>
      <c r="B96" s="12" t="s">
        <v>46</v>
      </c>
      <c r="C96" s="12" t="s">
        <v>45</v>
      </c>
      <c r="D96" s="12" t="n">
        <v>15</v>
      </c>
      <c r="E96" s="12" t="s">
        <v>113</v>
      </c>
      <c r="F96" s="12" t="s">
        <v>98</v>
      </c>
      <c r="G96" s="12" t="s">
        <v>281</v>
      </c>
      <c r="H96" s="12" t="s">
        <v>259</v>
      </c>
      <c r="I96" s="12" t="s">
        <v>93</v>
      </c>
      <c r="J96" s="12" t="s">
        <v>94</v>
      </c>
      <c r="K96" s="12" t="s">
        <v>95</v>
      </c>
      <c r="L96" s="12" t="s">
        <v>96</v>
      </c>
      <c r="M96" s="11" t="s">
        <v>88</v>
      </c>
    </row>
    <row r="97" customFormat="false" ht="28.35" hidden="false" customHeight="false" outlineLevel="0" collapsed="false">
      <c r="A97" s="11" t="s">
        <v>282</v>
      </c>
      <c r="B97" s="12" t="s">
        <v>46</v>
      </c>
      <c r="C97" s="12" t="s">
        <v>45</v>
      </c>
      <c r="D97" s="12" t="n">
        <v>16</v>
      </c>
      <c r="E97" s="12" t="s">
        <v>113</v>
      </c>
      <c r="F97" s="12" t="s">
        <v>98</v>
      </c>
      <c r="G97" s="12" t="s">
        <v>283</v>
      </c>
      <c r="H97" s="12" t="s">
        <v>259</v>
      </c>
      <c r="I97" s="12" t="s">
        <v>93</v>
      </c>
      <c r="J97" s="12" t="s">
        <v>94</v>
      </c>
      <c r="K97" s="12" t="s">
        <v>95</v>
      </c>
      <c r="L97" s="12" t="s">
        <v>96</v>
      </c>
      <c r="M97" s="11" t="s">
        <v>88</v>
      </c>
    </row>
    <row r="98" customFormat="false" ht="28.35" hidden="false" customHeight="false" outlineLevel="0" collapsed="false">
      <c r="A98" s="11" t="s">
        <v>284</v>
      </c>
      <c r="B98" s="12" t="s">
        <v>46</v>
      </c>
      <c r="C98" s="12" t="s">
        <v>45</v>
      </c>
      <c r="D98" s="12" t="n">
        <v>17</v>
      </c>
      <c r="E98" s="12" t="s">
        <v>113</v>
      </c>
      <c r="F98" s="12" t="s">
        <v>98</v>
      </c>
      <c r="G98" s="12" t="s">
        <v>285</v>
      </c>
      <c r="H98" s="12" t="s">
        <v>259</v>
      </c>
      <c r="I98" s="12" t="s">
        <v>93</v>
      </c>
      <c r="J98" s="12" t="s">
        <v>94</v>
      </c>
      <c r="K98" s="12" t="s">
        <v>95</v>
      </c>
      <c r="L98" s="12" t="s">
        <v>96</v>
      </c>
      <c r="M98" s="11" t="s">
        <v>88</v>
      </c>
    </row>
    <row r="99" customFormat="false" ht="28.35" hidden="false" customHeight="false" outlineLevel="0" collapsed="false">
      <c r="A99" s="11" t="s">
        <v>286</v>
      </c>
      <c r="B99" s="12" t="s">
        <v>46</v>
      </c>
      <c r="C99" s="12" t="s">
        <v>45</v>
      </c>
      <c r="D99" s="12" t="n">
        <v>18</v>
      </c>
      <c r="E99" s="12" t="s">
        <v>113</v>
      </c>
      <c r="F99" s="12" t="s">
        <v>98</v>
      </c>
      <c r="G99" s="12" t="s">
        <v>287</v>
      </c>
      <c r="H99" s="12" t="s">
        <v>259</v>
      </c>
      <c r="I99" s="12" t="s">
        <v>93</v>
      </c>
      <c r="J99" s="12" t="s">
        <v>94</v>
      </c>
      <c r="K99" s="12" t="s">
        <v>95</v>
      </c>
      <c r="L99" s="12" t="s">
        <v>96</v>
      </c>
      <c r="M99" s="11" t="s">
        <v>88</v>
      </c>
    </row>
    <row r="100" customFormat="false" ht="28.35" hidden="false" customHeight="false" outlineLevel="0" collapsed="false">
      <c r="A100" s="11" t="s">
        <v>288</v>
      </c>
      <c r="B100" s="12" t="s">
        <v>46</v>
      </c>
      <c r="C100" s="12" t="s">
        <v>45</v>
      </c>
      <c r="D100" s="12" t="n">
        <v>19</v>
      </c>
      <c r="E100" s="12" t="s">
        <v>113</v>
      </c>
      <c r="F100" s="12" t="s">
        <v>98</v>
      </c>
      <c r="G100" s="12" t="s">
        <v>289</v>
      </c>
      <c r="H100" s="12" t="s">
        <v>259</v>
      </c>
      <c r="I100" s="12" t="s">
        <v>93</v>
      </c>
      <c r="J100" s="12" t="s">
        <v>94</v>
      </c>
      <c r="K100" s="12" t="s">
        <v>95</v>
      </c>
      <c r="L100" s="12" t="s">
        <v>96</v>
      </c>
      <c r="M100" s="11" t="s">
        <v>88</v>
      </c>
    </row>
    <row r="101" customFormat="false" ht="28.35" hidden="false" customHeight="false" outlineLevel="0" collapsed="false">
      <c r="A101" s="11" t="s">
        <v>290</v>
      </c>
      <c r="B101" s="12" t="s">
        <v>46</v>
      </c>
      <c r="C101" s="12" t="s">
        <v>45</v>
      </c>
      <c r="D101" s="12" t="n">
        <v>20</v>
      </c>
      <c r="E101" s="12" t="s">
        <v>113</v>
      </c>
      <c r="F101" s="12" t="s">
        <v>98</v>
      </c>
      <c r="G101" s="12" t="s">
        <v>291</v>
      </c>
      <c r="H101" s="12" t="s">
        <v>259</v>
      </c>
      <c r="I101" s="12" t="s">
        <v>93</v>
      </c>
      <c r="J101" s="12" t="s">
        <v>94</v>
      </c>
      <c r="K101" s="12" t="s">
        <v>95</v>
      </c>
      <c r="L101" s="12" t="s">
        <v>96</v>
      </c>
      <c r="M101" s="11" t="s">
        <v>88</v>
      </c>
    </row>
    <row r="102" customFormat="false" ht="28.35" hidden="false" customHeight="false" outlineLevel="0" collapsed="false">
      <c r="A102" s="11" t="s">
        <v>292</v>
      </c>
      <c r="B102" s="12" t="s">
        <v>46</v>
      </c>
      <c r="C102" s="12" t="s">
        <v>45</v>
      </c>
      <c r="D102" s="12" t="n">
        <v>21</v>
      </c>
      <c r="E102" s="12" t="s">
        <v>113</v>
      </c>
      <c r="F102" s="12" t="s">
        <v>98</v>
      </c>
      <c r="G102" s="12" t="s">
        <v>293</v>
      </c>
      <c r="H102" s="12" t="s">
        <v>259</v>
      </c>
      <c r="I102" s="12" t="s">
        <v>93</v>
      </c>
      <c r="J102" s="12" t="s">
        <v>94</v>
      </c>
      <c r="K102" s="12" t="s">
        <v>95</v>
      </c>
      <c r="L102" s="12" t="s">
        <v>96</v>
      </c>
      <c r="M102" s="11" t="s">
        <v>88</v>
      </c>
    </row>
    <row r="103" customFormat="false" ht="28.35" hidden="false" customHeight="false" outlineLevel="0" collapsed="false">
      <c r="A103" s="11" t="s">
        <v>294</v>
      </c>
      <c r="B103" s="12" t="s">
        <v>46</v>
      </c>
      <c r="C103" s="12" t="s">
        <v>45</v>
      </c>
      <c r="D103" s="12" t="n">
        <v>22</v>
      </c>
      <c r="E103" s="12" t="s">
        <v>113</v>
      </c>
      <c r="F103" s="12" t="s">
        <v>132</v>
      </c>
      <c r="G103" s="12" t="s">
        <v>295</v>
      </c>
      <c r="H103" s="12" t="s">
        <v>259</v>
      </c>
      <c r="I103" s="12" t="s">
        <v>93</v>
      </c>
      <c r="J103" s="12" t="s">
        <v>94</v>
      </c>
      <c r="K103" s="12" t="s">
        <v>95</v>
      </c>
      <c r="L103" s="12" t="s">
        <v>96</v>
      </c>
      <c r="M103" s="11" t="s">
        <v>88</v>
      </c>
    </row>
    <row r="104" customFormat="false" ht="41.75" hidden="false" customHeight="false" outlineLevel="0" collapsed="false">
      <c r="A104" s="11" t="s">
        <v>296</v>
      </c>
      <c r="B104" s="12" t="s">
        <v>46</v>
      </c>
      <c r="C104" s="12" t="s">
        <v>45</v>
      </c>
      <c r="D104" s="12" t="n">
        <v>23</v>
      </c>
      <c r="E104" s="12" t="s">
        <v>113</v>
      </c>
      <c r="F104" s="12" t="s">
        <v>132</v>
      </c>
      <c r="G104" s="12" t="s">
        <v>297</v>
      </c>
      <c r="H104" s="12" t="s">
        <v>259</v>
      </c>
      <c r="I104" s="12" t="s">
        <v>93</v>
      </c>
      <c r="J104" s="12" t="s">
        <v>94</v>
      </c>
      <c r="K104" s="12" t="s">
        <v>95</v>
      </c>
      <c r="L104" s="12" t="s">
        <v>96</v>
      </c>
      <c r="M104" s="11" t="s">
        <v>88</v>
      </c>
    </row>
    <row r="105" customFormat="false" ht="28.35" hidden="false" customHeight="false" outlineLevel="0" collapsed="false">
      <c r="A105" s="11" t="s">
        <v>298</v>
      </c>
      <c r="B105" s="12" t="s">
        <v>46</v>
      </c>
      <c r="C105" s="12" t="s">
        <v>45</v>
      </c>
      <c r="D105" s="12" t="n">
        <v>24</v>
      </c>
      <c r="E105" s="12" t="s">
        <v>113</v>
      </c>
      <c r="F105" s="12" t="s">
        <v>132</v>
      </c>
      <c r="G105" s="12" t="s">
        <v>299</v>
      </c>
      <c r="H105" s="12" t="s">
        <v>259</v>
      </c>
      <c r="I105" s="12" t="s">
        <v>93</v>
      </c>
      <c r="J105" s="12" t="s">
        <v>94</v>
      </c>
      <c r="K105" s="12" t="s">
        <v>95</v>
      </c>
      <c r="L105" s="12" t="s">
        <v>96</v>
      </c>
      <c r="M105" s="11" t="s">
        <v>88</v>
      </c>
    </row>
    <row r="106" customFormat="false" ht="28.35" hidden="false" customHeight="false" outlineLevel="0" collapsed="false">
      <c r="A106" s="11" t="s">
        <v>300</v>
      </c>
      <c r="B106" s="12" t="s">
        <v>46</v>
      </c>
      <c r="C106" s="12" t="s">
        <v>45</v>
      </c>
      <c r="D106" s="12" t="n">
        <v>25</v>
      </c>
      <c r="E106" s="12" t="s">
        <v>113</v>
      </c>
      <c r="F106" s="12" t="s">
        <v>132</v>
      </c>
      <c r="G106" s="12" t="s">
        <v>301</v>
      </c>
      <c r="H106" s="12" t="s">
        <v>259</v>
      </c>
      <c r="I106" s="12" t="s">
        <v>93</v>
      </c>
      <c r="J106" s="12" t="s">
        <v>94</v>
      </c>
      <c r="K106" s="12" t="s">
        <v>95</v>
      </c>
      <c r="L106" s="12" t="s">
        <v>96</v>
      </c>
      <c r="M106" s="11" t="s">
        <v>88</v>
      </c>
    </row>
    <row r="107" customFormat="false" ht="28.35" hidden="false" customHeight="false" outlineLevel="0" collapsed="false">
      <c r="A107" s="11" t="s">
        <v>302</v>
      </c>
      <c r="B107" s="12" t="s">
        <v>46</v>
      </c>
      <c r="C107" s="12" t="s">
        <v>45</v>
      </c>
      <c r="D107" s="12" t="n">
        <v>26</v>
      </c>
      <c r="E107" s="12" t="s">
        <v>113</v>
      </c>
      <c r="F107" s="12" t="s">
        <v>132</v>
      </c>
      <c r="G107" s="12" t="s">
        <v>303</v>
      </c>
      <c r="H107" s="12" t="s">
        <v>259</v>
      </c>
      <c r="I107" s="12" t="s">
        <v>93</v>
      </c>
      <c r="J107" s="12" t="s">
        <v>94</v>
      </c>
      <c r="K107" s="12" t="s">
        <v>95</v>
      </c>
      <c r="L107" s="12" t="s">
        <v>96</v>
      </c>
      <c r="M107" s="11" t="s">
        <v>88</v>
      </c>
    </row>
    <row r="108" customFormat="false" ht="28.35" hidden="false" customHeight="false" outlineLevel="0" collapsed="false">
      <c r="A108" s="11" t="s">
        <v>304</v>
      </c>
      <c r="B108" s="12" t="s">
        <v>46</v>
      </c>
      <c r="C108" s="12" t="s">
        <v>45</v>
      </c>
      <c r="D108" s="12" t="n">
        <v>27</v>
      </c>
      <c r="E108" s="12" t="s">
        <v>113</v>
      </c>
      <c r="F108" s="12" t="s">
        <v>132</v>
      </c>
      <c r="G108" s="12" t="s">
        <v>305</v>
      </c>
      <c r="H108" s="12" t="s">
        <v>259</v>
      </c>
      <c r="I108" s="12" t="s">
        <v>93</v>
      </c>
      <c r="J108" s="12" t="s">
        <v>94</v>
      </c>
      <c r="K108" s="12" t="s">
        <v>95</v>
      </c>
      <c r="L108" s="12" t="s">
        <v>96</v>
      </c>
      <c r="M108" s="11" t="s">
        <v>88</v>
      </c>
    </row>
    <row r="109" customFormat="false" ht="41.75" hidden="false" customHeight="false" outlineLevel="0" collapsed="false">
      <c r="A109" s="11" t="s">
        <v>306</v>
      </c>
      <c r="B109" s="12" t="s">
        <v>46</v>
      </c>
      <c r="C109" s="12" t="s">
        <v>45</v>
      </c>
      <c r="D109" s="12" t="n">
        <v>28</v>
      </c>
      <c r="E109" s="12" t="s">
        <v>113</v>
      </c>
      <c r="F109" s="12" t="s">
        <v>132</v>
      </c>
      <c r="G109" s="12" t="s">
        <v>307</v>
      </c>
      <c r="H109" s="12" t="s">
        <v>259</v>
      </c>
      <c r="I109" s="12" t="s">
        <v>93</v>
      </c>
      <c r="J109" s="12" t="s">
        <v>94</v>
      </c>
      <c r="K109" s="12" t="s">
        <v>95</v>
      </c>
      <c r="L109" s="12" t="s">
        <v>96</v>
      </c>
      <c r="M109" s="11" t="s">
        <v>88</v>
      </c>
    </row>
    <row r="110" customFormat="false" ht="28.35" hidden="false" customHeight="false" outlineLevel="0" collapsed="false">
      <c r="A110" s="11" t="s">
        <v>308</v>
      </c>
      <c r="B110" s="12" t="s">
        <v>46</v>
      </c>
      <c r="C110" s="12" t="s">
        <v>45</v>
      </c>
      <c r="D110" s="12" t="n">
        <v>29</v>
      </c>
      <c r="E110" s="12" t="s">
        <v>113</v>
      </c>
      <c r="F110" s="12" t="s">
        <v>132</v>
      </c>
      <c r="G110" s="12" t="s">
        <v>309</v>
      </c>
      <c r="H110" s="12" t="s">
        <v>259</v>
      </c>
      <c r="I110" s="12" t="s">
        <v>93</v>
      </c>
      <c r="J110" s="12" t="s">
        <v>94</v>
      </c>
      <c r="K110" s="12" t="s">
        <v>95</v>
      </c>
      <c r="L110" s="12" t="s">
        <v>96</v>
      </c>
      <c r="M110" s="11" t="s">
        <v>88</v>
      </c>
    </row>
    <row r="111" customFormat="false" ht="28.35" hidden="false" customHeight="false" outlineLevel="0" collapsed="false">
      <c r="A111" s="11" t="s">
        <v>310</v>
      </c>
      <c r="B111" s="12" t="s">
        <v>46</v>
      </c>
      <c r="C111" s="12" t="s">
        <v>45</v>
      </c>
      <c r="D111" s="12" t="n">
        <v>30</v>
      </c>
      <c r="E111" s="12" t="s">
        <v>113</v>
      </c>
      <c r="F111" s="12" t="s">
        <v>132</v>
      </c>
      <c r="G111" s="12" t="s">
        <v>311</v>
      </c>
      <c r="H111" s="12" t="s">
        <v>259</v>
      </c>
      <c r="I111" s="12" t="s">
        <v>93</v>
      </c>
      <c r="J111" s="12" t="s">
        <v>94</v>
      </c>
      <c r="K111" s="12" t="s">
        <v>95</v>
      </c>
      <c r="L111" s="12" t="s">
        <v>96</v>
      </c>
      <c r="M111" s="11" t="s">
        <v>88</v>
      </c>
    </row>
    <row r="112" customFormat="false" ht="28.35" hidden="false" customHeight="false" outlineLevel="0" collapsed="false">
      <c r="A112" s="11" t="s">
        <v>312</v>
      </c>
      <c r="B112" s="12" t="s">
        <v>46</v>
      </c>
      <c r="C112" s="12" t="s">
        <v>45</v>
      </c>
      <c r="D112" s="12" t="n">
        <v>31</v>
      </c>
      <c r="E112" s="12" t="s">
        <v>113</v>
      </c>
      <c r="F112" s="12" t="s">
        <v>132</v>
      </c>
      <c r="G112" s="12" t="s">
        <v>313</v>
      </c>
      <c r="H112" s="12" t="s">
        <v>259</v>
      </c>
      <c r="I112" s="12" t="s">
        <v>93</v>
      </c>
      <c r="J112" s="12" t="s">
        <v>94</v>
      </c>
      <c r="K112" s="12" t="s">
        <v>95</v>
      </c>
      <c r="L112" s="12" t="s">
        <v>96</v>
      </c>
      <c r="M112" s="11" t="s">
        <v>88</v>
      </c>
    </row>
    <row r="113" customFormat="false" ht="28.35" hidden="false" customHeight="false" outlineLevel="0" collapsed="false">
      <c r="A113" s="11" t="s">
        <v>314</v>
      </c>
      <c r="B113" s="12" t="s">
        <v>46</v>
      </c>
      <c r="C113" s="12" t="s">
        <v>45</v>
      </c>
      <c r="D113" s="12" t="n">
        <v>32</v>
      </c>
      <c r="E113" s="12" t="s">
        <v>113</v>
      </c>
      <c r="F113" s="12" t="s">
        <v>132</v>
      </c>
      <c r="G113" s="12" t="s">
        <v>315</v>
      </c>
      <c r="H113" s="12" t="s">
        <v>259</v>
      </c>
      <c r="I113" s="12" t="s">
        <v>93</v>
      </c>
      <c r="J113" s="12" t="s">
        <v>94</v>
      </c>
      <c r="K113" s="12" t="s">
        <v>95</v>
      </c>
      <c r="L113" s="12" t="s">
        <v>96</v>
      </c>
      <c r="M113" s="11" t="s">
        <v>88</v>
      </c>
    </row>
    <row r="114" customFormat="false" ht="41.75" hidden="false" customHeight="false" outlineLevel="0" collapsed="false">
      <c r="A114" s="11" t="s">
        <v>316</v>
      </c>
      <c r="B114" s="12" t="s">
        <v>46</v>
      </c>
      <c r="C114" s="12" t="s">
        <v>45</v>
      </c>
      <c r="D114" s="12" t="n">
        <v>33</v>
      </c>
      <c r="E114" s="12" t="s">
        <v>113</v>
      </c>
      <c r="F114" s="12" t="s">
        <v>132</v>
      </c>
      <c r="G114" s="12" t="s">
        <v>317</v>
      </c>
      <c r="H114" s="12" t="s">
        <v>259</v>
      </c>
      <c r="I114" s="12" t="s">
        <v>93</v>
      </c>
      <c r="J114" s="12" t="s">
        <v>94</v>
      </c>
      <c r="K114" s="12" t="s">
        <v>95</v>
      </c>
      <c r="L114" s="12" t="s">
        <v>96</v>
      </c>
      <c r="M114" s="11" t="s">
        <v>88</v>
      </c>
    </row>
    <row r="115" customFormat="false" ht="28.35" hidden="false" customHeight="false" outlineLevel="0" collapsed="false">
      <c r="A115" s="11" t="s">
        <v>318</v>
      </c>
      <c r="B115" s="12" t="s">
        <v>46</v>
      </c>
      <c r="C115" s="12" t="s">
        <v>45</v>
      </c>
      <c r="D115" s="12" t="n">
        <v>34</v>
      </c>
      <c r="E115" s="12" t="s">
        <v>113</v>
      </c>
      <c r="F115" s="12" t="s">
        <v>132</v>
      </c>
      <c r="G115" s="12" t="s">
        <v>319</v>
      </c>
      <c r="H115" s="12" t="s">
        <v>259</v>
      </c>
      <c r="I115" s="12" t="s">
        <v>93</v>
      </c>
      <c r="J115" s="12" t="s">
        <v>94</v>
      </c>
      <c r="K115" s="12" t="s">
        <v>95</v>
      </c>
      <c r="L115" s="12" t="s">
        <v>96</v>
      </c>
      <c r="M115" s="11" t="s">
        <v>88</v>
      </c>
    </row>
    <row r="116" customFormat="false" ht="41.75" hidden="false" customHeight="false" outlineLevel="0" collapsed="false">
      <c r="A116" s="11" t="s">
        <v>320</v>
      </c>
      <c r="B116" s="12" t="s">
        <v>46</v>
      </c>
      <c r="C116" s="12" t="s">
        <v>45</v>
      </c>
      <c r="D116" s="12" t="n">
        <v>35</v>
      </c>
      <c r="E116" s="12" t="s">
        <v>113</v>
      </c>
      <c r="F116" s="12" t="s">
        <v>132</v>
      </c>
      <c r="G116" s="12" t="s">
        <v>321</v>
      </c>
      <c r="H116" s="12" t="s">
        <v>259</v>
      </c>
      <c r="I116" s="12" t="s">
        <v>93</v>
      </c>
      <c r="J116" s="12" t="s">
        <v>94</v>
      </c>
      <c r="K116" s="12" t="s">
        <v>95</v>
      </c>
      <c r="L116" s="12" t="s">
        <v>96</v>
      </c>
      <c r="M116" s="11" t="s">
        <v>88</v>
      </c>
    </row>
    <row r="117" customFormat="false" ht="28.35" hidden="false" customHeight="false" outlineLevel="0" collapsed="false">
      <c r="A117" s="11" t="s">
        <v>322</v>
      </c>
      <c r="B117" s="12" t="s">
        <v>46</v>
      </c>
      <c r="C117" s="12" t="s">
        <v>45</v>
      </c>
      <c r="D117" s="12" t="n">
        <v>36</v>
      </c>
      <c r="E117" s="12" t="s">
        <v>113</v>
      </c>
      <c r="F117" s="12" t="s">
        <v>132</v>
      </c>
      <c r="G117" s="12" t="s">
        <v>323</v>
      </c>
      <c r="H117" s="12" t="s">
        <v>259</v>
      </c>
      <c r="I117" s="12" t="s">
        <v>93</v>
      </c>
      <c r="J117" s="12" t="s">
        <v>94</v>
      </c>
      <c r="K117" s="12" t="s">
        <v>95</v>
      </c>
      <c r="L117" s="12" t="s">
        <v>96</v>
      </c>
      <c r="M117" s="11" t="s">
        <v>88</v>
      </c>
    </row>
    <row r="118" customFormat="false" ht="28.35" hidden="false" customHeight="false" outlineLevel="0" collapsed="false">
      <c r="A118" s="11" t="s">
        <v>324</v>
      </c>
      <c r="B118" s="12" t="s">
        <v>46</v>
      </c>
      <c r="C118" s="12" t="s">
        <v>45</v>
      </c>
      <c r="D118" s="12" t="n">
        <v>37</v>
      </c>
      <c r="E118" s="12" t="s">
        <v>113</v>
      </c>
      <c r="F118" s="12" t="s">
        <v>132</v>
      </c>
      <c r="G118" s="12" t="s">
        <v>325</v>
      </c>
      <c r="H118" s="12" t="s">
        <v>259</v>
      </c>
      <c r="I118" s="12" t="s">
        <v>93</v>
      </c>
      <c r="J118" s="12" t="s">
        <v>94</v>
      </c>
      <c r="K118" s="12" t="s">
        <v>95</v>
      </c>
      <c r="L118" s="12" t="s">
        <v>96</v>
      </c>
      <c r="M118" s="11" t="s">
        <v>88</v>
      </c>
    </row>
    <row r="119" customFormat="false" ht="28.35" hidden="false" customHeight="false" outlineLevel="0" collapsed="false">
      <c r="A119" s="11" t="s">
        <v>326</v>
      </c>
      <c r="B119" s="12" t="s">
        <v>46</v>
      </c>
      <c r="C119" s="12" t="s">
        <v>45</v>
      </c>
      <c r="D119" s="12" t="n">
        <v>38</v>
      </c>
      <c r="E119" s="12" t="s">
        <v>113</v>
      </c>
      <c r="F119" s="12" t="s">
        <v>132</v>
      </c>
      <c r="G119" s="12" t="s">
        <v>327</v>
      </c>
      <c r="H119" s="12" t="s">
        <v>259</v>
      </c>
      <c r="I119" s="12" t="s">
        <v>93</v>
      </c>
      <c r="J119" s="12" t="s">
        <v>94</v>
      </c>
      <c r="K119" s="12" t="s">
        <v>95</v>
      </c>
      <c r="L119" s="12" t="s">
        <v>96</v>
      </c>
      <c r="M119" s="11" t="s">
        <v>88</v>
      </c>
    </row>
    <row r="120" customFormat="false" ht="41.75" hidden="false" customHeight="false" outlineLevel="0" collapsed="false">
      <c r="A120" s="11" t="s">
        <v>328</v>
      </c>
      <c r="B120" s="12" t="s">
        <v>46</v>
      </c>
      <c r="C120" s="12" t="s">
        <v>45</v>
      </c>
      <c r="D120" s="12" t="n">
        <v>39</v>
      </c>
      <c r="E120" s="12" t="s">
        <v>113</v>
      </c>
      <c r="F120" s="12" t="s">
        <v>98</v>
      </c>
      <c r="G120" s="12" t="s">
        <v>329</v>
      </c>
      <c r="H120" s="12" t="s">
        <v>259</v>
      </c>
      <c r="I120" s="12" t="s">
        <v>93</v>
      </c>
      <c r="J120" s="12" t="s">
        <v>94</v>
      </c>
      <c r="K120" s="12" t="s">
        <v>95</v>
      </c>
      <c r="L120" s="12" t="s">
        <v>96</v>
      </c>
      <c r="M120" s="11" t="s">
        <v>88</v>
      </c>
    </row>
    <row r="121" customFormat="false" ht="28.35" hidden="false" customHeight="false" outlineLevel="0" collapsed="false">
      <c r="A121" s="11" t="s">
        <v>330</v>
      </c>
      <c r="B121" s="12" t="s">
        <v>46</v>
      </c>
      <c r="C121" s="12" t="s">
        <v>45</v>
      </c>
      <c r="D121" s="12" t="n">
        <v>40</v>
      </c>
      <c r="E121" s="12" t="s">
        <v>331</v>
      </c>
      <c r="F121" s="12" t="s">
        <v>82</v>
      </c>
      <c r="G121" s="12" t="s">
        <v>331</v>
      </c>
      <c r="H121" s="12" t="s">
        <v>259</v>
      </c>
      <c r="I121" s="12" t="s">
        <v>84</v>
      </c>
      <c r="J121" s="12" t="s">
        <v>85</v>
      </c>
      <c r="K121" s="12" t="s">
        <v>86</v>
      </c>
      <c r="L121" s="12" t="s">
        <v>87</v>
      </c>
      <c r="M121" s="11" t="s">
        <v>88</v>
      </c>
    </row>
    <row r="122" customFormat="false" ht="28.35" hidden="false" customHeight="false" outlineLevel="0" collapsed="false">
      <c r="A122" s="11" t="s">
        <v>332</v>
      </c>
      <c r="B122" s="12" t="s">
        <v>46</v>
      </c>
      <c r="C122" s="12" t="s">
        <v>45</v>
      </c>
      <c r="D122" s="12" t="n">
        <v>41</v>
      </c>
      <c r="E122" s="12" t="s">
        <v>331</v>
      </c>
      <c r="F122" s="12" t="s">
        <v>132</v>
      </c>
      <c r="G122" s="12" t="s">
        <v>333</v>
      </c>
      <c r="H122" s="12" t="s">
        <v>259</v>
      </c>
      <c r="I122" s="12" t="s">
        <v>84</v>
      </c>
      <c r="J122" s="12" t="s">
        <v>85</v>
      </c>
      <c r="K122" s="12" t="s">
        <v>86</v>
      </c>
      <c r="L122" s="12" t="s">
        <v>87</v>
      </c>
      <c r="M122" s="11" t="s">
        <v>88</v>
      </c>
    </row>
    <row r="123" customFormat="false" ht="28.35" hidden="false" customHeight="false" outlineLevel="0" collapsed="false">
      <c r="A123" s="11" t="s">
        <v>334</v>
      </c>
      <c r="B123" s="12" t="s">
        <v>46</v>
      </c>
      <c r="C123" s="12" t="s">
        <v>45</v>
      </c>
      <c r="D123" s="12" t="n">
        <v>42</v>
      </c>
      <c r="E123" s="12" t="s">
        <v>331</v>
      </c>
      <c r="F123" s="12" t="s">
        <v>132</v>
      </c>
      <c r="G123" s="12" t="s">
        <v>335</v>
      </c>
      <c r="H123" s="12" t="s">
        <v>259</v>
      </c>
      <c r="I123" s="12" t="s">
        <v>84</v>
      </c>
      <c r="J123" s="12" t="s">
        <v>85</v>
      </c>
      <c r="K123" s="12" t="s">
        <v>86</v>
      </c>
      <c r="L123" s="12" t="s">
        <v>87</v>
      </c>
      <c r="M123" s="11" t="s">
        <v>88</v>
      </c>
    </row>
    <row r="124" customFormat="false" ht="28.35" hidden="false" customHeight="false" outlineLevel="0" collapsed="false">
      <c r="A124" s="11" t="s">
        <v>336</v>
      </c>
      <c r="B124" s="12" t="s">
        <v>46</v>
      </c>
      <c r="C124" s="12" t="s">
        <v>45</v>
      </c>
      <c r="D124" s="12" t="n">
        <v>43</v>
      </c>
      <c r="E124" s="12" t="s">
        <v>331</v>
      </c>
      <c r="F124" s="12" t="s">
        <v>132</v>
      </c>
      <c r="G124" s="12" t="s">
        <v>337</v>
      </c>
      <c r="H124" s="12" t="s">
        <v>259</v>
      </c>
      <c r="I124" s="12" t="s">
        <v>84</v>
      </c>
      <c r="J124" s="12" t="s">
        <v>85</v>
      </c>
      <c r="K124" s="12" t="s">
        <v>86</v>
      </c>
      <c r="L124" s="12" t="s">
        <v>87</v>
      </c>
      <c r="M124" s="11" t="s">
        <v>88</v>
      </c>
    </row>
    <row r="125" customFormat="false" ht="28.35" hidden="false" customHeight="false" outlineLevel="0" collapsed="false">
      <c r="A125" s="11" t="s">
        <v>338</v>
      </c>
      <c r="B125" s="12" t="s">
        <v>46</v>
      </c>
      <c r="C125" s="12" t="s">
        <v>45</v>
      </c>
      <c r="D125" s="12" t="n">
        <v>44</v>
      </c>
      <c r="E125" s="12" t="s">
        <v>331</v>
      </c>
      <c r="F125" s="12" t="s">
        <v>132</v>
      </c>
      <c r="G125" s="12" t="s">
        <v>339</v>
      </c>
      <c r="H125" s="12" t="s">
        <v>259</v>
      </c>
      <c r="I125" s="12" t="s">
        <v>84</v>
      </c>
      <c r="J125" s="12" t="s">
        <v>85</v>
      </c>
      <c r="K125" s="12" t="s">
        <v>86</v>
      </c>
      <c r="L125" s="12" t="s">
        <v>87</v>
      </c>
      <c r="M125" s="11" t="s">
        <v>88</v>
      </c>
    </row>
    <row r="126" customFormat="false" ht="28.35" hidden="false" customHeight="false" outlineLevel="0" collapsed="false">
      <c r="A126" s="11" t="s">
        <v>340</v>
      </c>
      <c r="B126" s="12" t="s">
        <v>46</v>
      </c>
      <c r="C126" s="12" t="s">
        <v>45</v>
      </c>
      <c r="D126" s="12" t="n">
        <v>45</v>
      </c>
      <c r="E126" s="12" t="s">
        <v>331</v>
      </c>
      <c r="F126" s="12" t="s">
        <v>132</v>
      </c>
      <c r="G126" s="12" t="s">
        <v>341</v>
      </c>
      <c r="H126" s="12" t="s">
        <v>259</v>
      </c>
      <c r="I126" s="12" t="s">
        <v>84</v>
      </c>
      <c r="J126" s="12" t="s">
        <v>85</v>
      </c>
      <c r="K126" s="12" t="s">
        <v>86</v>
      </c>
      <c r="L126" s="12" t="s">
        <v>87</v>
      </c>
      <c r="M126" s="11" t="s">
        <v>88</v>
      </c>
    </row>
    <row r="127" customFormat="false" ht="28.35" hidden="false" customHeight="false" outlineLevel="0" collapsed="false">
      <c r="A127" s="11" t="s">
        <v>342</v>
      </c>
      <c r="B127" s="12" t="s">
        <v>46</v>
      </c>
      <c r="C127" s="12" t="s">
        <v>45</v>
      </c>
      <c r="D127" s="12" t="n">
        <v>46</v>
      </c>
      <c r="E127" s="12" t="s">
        <v>343</v>
      </c>
      <c r="F127" s="12" t="s">
        <v>82</v>
      </c>
      <c r="G127" s="12" t="s">
        <v>343</v>
      </c>
      <c r="H127" s="12" t="s">
        <v>259</v>
      </c>
      <c r="I127" s="12" t="s">
        <v>158</v>
      </c>
      <c r="J127" s="12" t="s">
        <v>159</v>
      </c>
      <c r="K127" s="12" t="s">
        <v>19</v>
      </c>
      <c r="L127" s="12" t="s">
        <v>87</v>
      </c>
      <c r="M127" s="11" t="s">
        <v>88</v>
      </c>
    </row>
    <row r="128" customFormat="false" ht="28.35" hidden="false" customHeight="false" outlineLevel="0" collapsed="false">
      <c r="A128" s="11" t="s">
        <v>344</v>
      </c>
      <c r="B128" s="12" t="s">
        <v>46</v>
      </c>
      <c r="C128" s="12" t="s">
        <v>45</v>
      </c>
      <c r="D128" s="12" t="n">
        <v>47</v>
      </c>
      <c r="E128" s="12" t="s">
        <v>345</v>
      </c>
      <c r="F128" s="12" t="s">
        <v>82</v>
      </c>
      <c r="G128" s="12" t="s">
        <v>345</v>
      </c>
      <c r="H128" s="12" t="s">
        <v>259</v>
      </c>
      <c r="I128" s="12" t="s">
        <v>158</v>
      </c>
      <c r="J128" s="12" t="s">
        <v>159</v>
      </c>
      <c r="K128" s="12" t="s">
        <v>19</v>
      </c>
      <c r="L128" s="12" t="s">
        <v>87</v>
      </c>
      <c r="M128" s="11" t="s">
        <v>88</v>
      </c>
    </row>
    <row r="129" customFormat="false" ht="68.65" hidden="false" customHeight="false" outlineLevel="0" collapsed="false">
      <c r="A129" s="11" t="s">
        <v>346</v>
      </c>
      <c r="B129" s="12" t="s">
        <v>46</v>
      </c>
      <c r="C129" s="12" t="s">
        <v>45</v>
      </c>
      <c r="D129" s="12" t="n">
        <v>48</v>
      </c>
      <c r="E129" s="12" t="s">
        <v>345</v>
      </c>
      <c r="F129" s="12" t="s">
        <v>132</v>
      </c>
      <c r="G129" s="12" t="s">
        <v>347</v>
      </c>
      <c r="H129" s="12" t="s">
        <v>259</v>
      </c>
      <c r="I129" s="12" t="s">
        <v>164</v>
      </c>
      <c r="J129" s="12" t="s">
        <v>165</v>
      </c>
      <c r="K129" s="12" t="s">
        <v>16</v>
      </c>
      <c r="L129" s="12" t="s">
        <v>87</v>
      </c>
      <c r="M129" s="11" t="s">
        <v>88</v>
      </c>
    </row>
    <row r="130" customFormat="false" ht="55.2" hidden="false" customHeight="false" outlineLevel="0" collapsed="false">
      <c r="A130" s="11" t="s">
        <v>348</v>
      </c>
      <c r="B130" s="12" t="s">
        <v>46</v>
      </c>
      <c r="C130" s="12" t="s">
        <v>45</v>
      </c>
      <c r="D130" s="12" t="n">
        <v>49</v>
      </c>
      <c r="E130" s="12" t="s">
        <v>345</v>
      </c>
      <c r="F130" s="12" t="s">
        <v>132</v>
      </c>
      <c r="G130" s="12" t="s">
        <v>349</v>
      </c>
      <c r="H130" s="12" t="s">
        <v>259</v>
      </c>
      <c r="I130" s="12" t="s">
        <v>164</v>
      </c>
      <c r="J130" s="12" t="s">
        <v>165</v>
      </c>
      <c r="K130" s="12" t="s">
        <v>16</v>
      </c>
      <c r="L130" s="12" t="s">
        <v>87</v>
      </c>
      <c r="M130" s="11" t="s">
        <v>88</v>
      </c>
    </row>
    <row r="131" customFormat="false" ht="28.35" hidden="false" customHeight="false" outlineLevel="0" collapsed="false">
      <c r="A131" s="11" t="s">
        <v>350</v>
      </c>
      <c r="B131" s="12" t="s">
        <v>46</v>
      </c>
      <c r="C131" s="12" t="s">
        <v>45</v>
      </c>
      <c r="D131" s="12" t="n">
        <v>50</v>
      </c>
      <c r="E131" s="12" t="s">
        <v>345</v>
      </c>
      <c r="F131" s="12" t="s">
        <v>132</v>
      </c>
      <c r="G131" s="12" t="s">
        <v>351</v>
      </c>
      <c r="H131" s="12" t="s">
        <v>259</v>
      </c>
      <c r="I131" s="12" t="s">
        <v>164</v>
      </c>
      <c r="J131" s="12" t="s">
        <v>165</v>
      </c>
      <c r="K131" s="12" t="s">
        <v>16</v>
      </c>
      <c r="L131" s="12" t="s">
        <v>87</v>
      </c>
      <c r="M131" s="11" t="s">
        <v>88</v>
      </c>
    </row>
    <row r="132" customFormat="false" ht="256.7" hidden="false" customHeight="false" outlineLevel="0" collapsed="false">
      <c r="A132" s="11" t="s">
        <v>352</v>
      </c>
      <c r="B132" s="12" t="s">
        <v>46</v>
      </c>
      <c r="C132" s="12" t="s">
        <v>45</v>
      </c>
      <c r="D132" s="12" t="n">
        <v>51</v>
      </c>
      <c r="E132" s="12" t="s">
        <v>345</v>
      </c>
      <c r="F132" s="12" t="s">
        <v>98</v>
      </c>
      <c r="G132" s="12" t="s">
        <v>353</v>
      </c>
      <c r="H132" s="12" t="s">
        <v>259</v>
      </c>
      <c r="I132" s="12" t="s">
        <v>354</v>
      </c>
      <c r="J132" s="12" t="s">
        <v>355</v>
      </c>
      <c r="K132" s="12" t="s">
        <v>25</v>
      </c>
      <c r="L132" s="12" t="s">
        <v>96</v>
      </c>
      <c r="M132" s="11" t="s">
        <v>170</v>
      </c>
    </row>
    <row r="133" customFormat="false" ht="82.05" hidden="false" customHeight="false" outlineLevel="0" collapsed="false">
      <c r="A133" s="11" t="s">
        <v>356</v>
      </c>
      <c r="B133" s="12" t="s">
        <v>46</v>
      </c>
      <c r="C133" s="12" t="s">
        <v>45</v>
      </c>
      <c r="D133" s="12" t="n">
        <v>52</v>
      </c>
      <c r="E133" s="12" t="s">
        <v>345</v>
      </c>
      <c r="F133" s="12" t="s">
        <v>98</v>
      </c>
      <c r="G133" s="12" t="s">
        <v>357</v>
      </c>
      <c r="H133" s="12" t="s">
        <v>259</v>
      </c>
      <c r="I133" s="12" t="s">
        <v>175</v>
      </c>
      <c r="J133" s="12" t="s">
        <v>176</v>
      </c>
      <c r="K133" s="12" t="s">
        <v>22</v>
      </c>
      <c r="L133" s="12" t="s">
        <v>96</v>
      </c>
      <c r="M133" s="11" t="s">
        <v>88</v>
      </c>
    </row>
    <row r="134" customFormat="false" ht="41.75" hidden="false" customHeight="false" outlineLevel="0" collapsed="false">
      <c r="A134" s="11" t="s">
        <v>358</v>
      </c>
      <c r="B134" s="12" t="s">
        <v>46</v>
      </c>
      <c r="C134" s="12" t="s">
        <v>45</v>
      </c>
      <c r="D134" s="12" t="n">
        <v>53</v>
      </c>
      <c r="E134" s="12" t="s">
        <v>345</v>
      </c>
      <c r="F134" s="12" t="s">
        <v>98</v>
      </c>
      <c r="G134" s="12" t="s">
        <v>359</v>
      </c>
      <c r="H134" s="12" t="s">
        <v>259</v>
      </c>
      <c r="I134" s="12" t="s">
        <v>175</v>
      </c>
      <c r="J134" s="12" t="s">
        <v>176</v>
      </c>
      <c r="K134" s="12" t="s">
        <v>22</v>
      </c>
      <c r="L134" s="12" t="s">
        <v>96</v>
      </c>
      <c r="M134" s="11" t="s">
        <v>88</v>
      </c>
    </row>
    <row r="135" customFormat="false" ht="28.35" hidden="false" customHeight="false" outlineLevel="0" collapsed="false">
      <c r="A135" s="11" t="s">
        <v>360</v>
      </c>
      <c r="B135" s="12" t="s">
        <v>46</v>
      </c>
      <c r="C135" s="12" t="s">
        <v>45</v>
      </c>
      <c r="D135" s="12" t="n">
        <v>54</v>
      </c>
      <c r="E135" s="12" t="s">
        <v>361</v>
      </c>
      <c r="F135" s="12" t="s">
        <v>82</v>
      </c>
      <c r="G135" s="12" t="s">
        <v>361</v>
      </c>
      <c r="H135" s="12" t="s">
        <v>259</v>
      </c>
      <c r="I135" s="12" t="s">
        <v>158</v>
      </c>
      <c r="J135" s="12" t="s">
        <v>159</v>
      </c>
      <c r="K135" s="12" t="s">
        <v>19</v>
      </c>
      <c r="L135" s="12" t="s">
        <v>87</v>
      </c>
      <c r="M135" s="11" t="s">
        <v>88</v>
      </c>
    </row>
    <row r="136" customFormat="false" ht="28.35" hidden="false" customHeight="false" outlineLevel="0" collapsed="false">
      <c r="A136" s="11" t="s">
        <v>362</v>
      </c>
      <c r="B136" s="12" t="s">
        <v>46</v>
      </c>
      <c r="C136" s="12" t="s">
        <v>45</v>
      </c>
      <c r="D136" s="12" t="n">
        <v>55</v>
      </c>
      <c r="E136" s="12" t="s">
        <v>363</v>
      </c>
      <c r="F136" s="12" t="s">
        <v>82</v>
      </c>
      <c r="G136" s="12" t="s">
        <v>363</v>
      </c>
      <c r="H136" s="12" t="s">
        <v>259</v>
      </c>
      <c r="I136" s="12" t="s">
        <v>158</v>
      </c>
      <c r="J136" s="12" t="s">
        <v>159</v>
      </c>
      <c r="K136" s="12" t="s">
        <v>19</v>
      </c>
      <c r="L136" s="12" t="s">
        <v>87</v>
      </c>
      <c r="M136" s="11" t="s">
        <v>88</v>
      </c>
    </row>
    <row r="137" customFormat="false" ht="28.35" hidden="false" customHeight="false" outlineLevel="0" collapsed="false">
      <c r="A137" s="11" t="s">
        <v>364</v>
      </c>
      <c r="B137" s="12" t="s">
        <v>46</v>
      </c>
      <c r="C137" s="12" t="s">
        <v>45</v>
      </c>
      <c r="D137" s="12" t="n">
        <v>56</v>
      </c>
      <c r="E137" s="12" t="s">
        <v>363</v>
      </c>
      <c r="F137" s="12" t="s">
        <v>132</v>
      </c>
      <c r="G137" s="12" t="s">
        <v>365</v>
      </c>
      <c r="H137" s="12" t="s">
        <v>259</v>
      </c>
      <c r="I137" s="12" t="s">
        <v>164</v>
      </c>
      <c r="J137" s="12" t="s">
        <v>165</v>
      </c>
      <c r="K137" s="12" t="s">
        <v>16</v>
      </c>
      <c r="L137" s="12" t="s">
        <v>87</v>
      </c>
      <c r="M137" s="11" t="s">
        <v>88</v>
      </c>
    </row>
    <row r="138" customFormat="false" ht="41.75" hidden="false" customHeight="false" outlineLevel="0" collapsed="false">
      <c r="A138" s="11" t="s">
        <v>366</v>
      </c>
      <c r="B138" s="12" t="s">
        <v>46</v>
      </c>
      <c r="C138" s="12" t="s">
        <v>45</v>
      </c>
      <c r="D138" s="12" t="n">
        <v>57</v>
      </c>
      <c r="E138" s="12" t="s">
        <v>363</v>
      </c>
      <c r="F138" s="12" t="s">
        <v>132</v>
      </c>
      <c r="G138" s="12" t="s">
        <v>367</v>
      </c>
      <c r="H138" s="12" t="s">
        <v>259</v>
      </c>
      <c r="I138" s="12" t="s">
        <v>164</v>
      </c>
      <c r="J138" s="12" t="s">
        <v>165</v>
      </c>
      <c r="K138" s="12" t="s">
        <v>16</v>
      </c>
      <c r="L138" s="12" t="s">
        <v>87</v>
      </c>
      <c r="M138" s="11" t="s">
        <v>88</v>
      </c>
    </row>
    <row r="139" customFormat="false" ht="28.35" hidden="false" customHeight="false" outlineLevel="0" collapsed="false">
      <c r="A139" s="11" t="s">
        <v>368</v>
      </c>
      <c r="B139" s="12" t="s">
        <v>46</v>
      </c>
      <c r="C139" s="12" t="s">
        <v>45</v>
      </c>
      <c r="D139" s="12" t="n">
        <v>58</v>
      </c>
      <c r="E139" s="12" t="s">
        <v>363</v>
      </c>
      <c r="F139" s="12" t="s">
        <v>132</v>
      </c>
      <c r="G139" s="12" t="s">
        <v>369</v>
      </c>
      <c r="H139" s="12" t="s">
        <v>259</v>
      </c>
      <c r="I139" s="12" t="s">
        <v>164</v>
      </c>
      <c r="J139" s="12" t="s">
        <v>165</v>
      </c>
      <c r="K139" s="12" t="s">
        <v>16</v>
      </c>
      <c r="L139" s="12" t="s">
        <v>87</v>
      </c>
      <c r="M139" s="11" t="s">
        <v>88</v>
      </c>
    </row>
    <row r="140" customFormat="false" ht="28.35" hidden="false" customHeight="false" outlineLevel="0" collapsed="false">
      <c r="A140" s="11" t="s">
        <v>370</v>
      </c>
      <c r="B140" s="12" t="s">
        <v>46</v>
      </c>
      <c r="C140" s="12" t="s">
        <v>45</v>
      </c>
      <c r="D140" s="12" t="n">
        <v>59</v>
      </c>
      <c r="E140" s="12" t="s">
        <v>363</v>
      </c>
      <c r="F140" s="12" t="s">
        <v>98</v>
      </c>
      <c r="G140" s="12" t="s">
        <v>371</v>
      </c>
      <c r="H140" s="12" t="s">
        <v>259</v>
      </c>
      <c r="I140" s="12" t="s">
        <v>175</v>
      </c>
      <c r="J140" s="12" t="s">
        <v>176</v>
      </c>
      <c r="K140" s="12" t="s">
        <v>22</v>
      </c>
      <c r="L140" s="12" t="s">
        <v>96</v>
      </c>
      <c r="M140" s="11" t="s">
        <v>88</v>
      </c>
    </row>
    <row r="141" customFormat="false" ht="28.35" hidden="false" customHeight="false" outlineLevel="0" collapsed="false">
      <c r="A141" s="11" t="s">
        <v>372</v>
      </c>
      <c r="B141" s="12" t="s">
        <v>46</v>
      </c>
      <c r="C141" s="12" t="s">
        <v>45</v>
      </c>
      <c r="D141" s="12" t="n">
        <v>60</v>
      </c>
      <c r="E141" s="12" t="s">
        <v>363</v>
      </c>
      <c r="F141" s="12" t="s">
        <v>98</v>
      </c>
      <c r="G141" s="12" t="s">
        <v>373</v>
      </c>
      <c r="H141" s="12" t="s">
        <v>259</v>
      </c>
      <c r="I141" s="12" t="s">
        <v>175</v>
      </c>
      <c r="J141" s="12" t="s">
        <v>176</v>
      </c>
      <c r="K141" s="12" t="s">
        <v>22</v>
      </c>
      <c r="L141" s="12" t="s">
        <v>96</v>
      </c>
      <c r="M141" s="11" t="s">
        <v>88</v>
      </c>
    </row>
    <row r="142" customFormat="false" ht="28.35" hidden="false" customHeight="false" outlineLevel="0" collapsed="false">
      <c r="A142" s="11" t="s">
        <v>374</v>
      </c>
      <c r="B142" s="12" t="s">
        <v>46</v>
      </c>
      <c r="C142" s="12" t="s">
        <v>45</v>
      </c>
      <c r="D142" s="12" t="n">
        <v>61</v>
      </c>
      <c r="E142" s="12" t="s">
        <v>363</v>
      </c>
      <c r="F142" s="12" t="s">
        <v>98</v>
      </c>
      <c r="G142" s="12" t="s">
        <v>375</v>
      </c>
      <c r="H142" s="12" t="s">
        <v>259</v>
      </c>
      <c r="I142" s="12" t="s">
        <v>175</v>
      </c>
      <c r="J142" s="12" t="s">
        <v>176</v>
      </c>
      <c r="K142" s="12" t="s">
        <v>22</v>
      </c>
      <c r="L142" s="12" t="s">
        <v>96</v>
      </c>
      <c r="M142" s="11" t="s">
        <v>88</v>
      </c>
    </row>
    <row r="143" customFormat="false" ht="41.75" hidden="false" customHeight="false" outlineLevel="0" collapsed="false">
      <c r="A143" s="11" t="s">
        <v>376</v>
      </c>
      <c r="B143" s="12" t="s">
        <v>46</v>
      </c>
      <c r="C143" s="12" t="s">
        <v>45</v>
      </c>
      <c r="D143" s="12" t="n">
        <v>62</v>
      </c>
      <c r="E143" s="12" t="s">
        <v>363</v>
      </c>
      <c r="F143" s="12" t="s">
        <v>98</v>
      </c>
      <c r="G143" s="12" t="s">
        <v>377</v>
      </c>
      <c r="H143" s="12" t="s">
        <v>259</v>
      </c>
      <c r="I143" s="12" t="s">
        <v>175</v>
      </c>
      <c r="J143" s="12" t="s">
        <v>176</v>
      </c>
      <c r="K143" s="12" t="s">
        <v>22</v>
      </c>
      <c r="L143" s="12" t="s">
        <v>96</v>
      </c>
      <c r="M143" s="11" t="s">
        <v>88</v>
      </c>
    </row>
    <row r="144" customFormat="false" ht="41.75" hidden="false" customHeight="false" outlineLevel="0" collapsed="false">
      <c r="A144" s="11" t="s">
        <v>378</v>
      </c>
      <c r="B144" s="12" t="s">
        <v>46</v>
      </c>
      <c r="C144" s="12" t="s">
        <v>45</v>
      </c>
      <c r="D144" s="12" t="n">
        <v>63</v>
      </c>
      <c r="E144" s="12" t="s">
        <v>363</v>
      </c>
      <c r="F144" s="12" t="s">
        <v>98</v>
      </c>
      <c r="G144" s="12" t="s">
        <v>379</v>
      </c>
      <c r="H144" s="12" t="s">
        <v>259</v>
      </c>
      <c r="I144" s="12" t="s">
        <v>175</v>
      </c>
      <c r="J144" s="12" t="s">
        <v>176</v>
      </c>
      <c r="K144" s="12" t="s">
        <v>22</v>
      </c>
      <c r="L144" s="12" t="s">
        <v>96</v>
      </c>
      <c r="M144" s="11" t="s">
        <v>88</v>
      </c>
    </row>
    <row r="145" customFormat="false" ht="28.35" hidden="false" customHeight="false" outlineLevel="0" collapsed="false">
      <c r="A145" s="11" t="s">
        <v>380</v>
      </c>
      <c r="B145" s="12" t="s">
        <v>46</v>
      </c>
      <c r="C145" s="12" t="s">
        <v>45</v>
      </c>
      <c r="D145" s="12" t="n">
        <v>64</v>
      </c>
      <c r="E145" s="12" t="s">
        <v>363</v>
      </c>
      <c r="F145" s="12" t="s">
        <v>132</v>
      </c>
      <c r="G145" s="12" t="s">
        <v>381</v>
      </c>
      <c r="H145" s="12" t="s">
        <v>259</v>
      </c>
      <c r="I145" s="12" t="s">
        <v>164</v>
      </c>
      <c r="J145" s="12" t="s">
        <v>165</v>
      </c>
      <c r="K145" s="12" t="s">
        <v>16</v>
      </c>
      <c r="L145" s="12" t="s">
        <v>87</v>
      </c>
      <c r="M145" s="11" t="s">
        <v>88</v>
      </c>
    </row>
    <row r="146" customFormat="false" ht="28.35" hidden="false" customHeight="false" outlineLevel="0" collapsed="false">
      <c r="A146" s="11" t="s">
        <v>382</v>
      </c>
      <c r="B146" s="12" t="s">
        <v>46</v>
      </c>
      <c r="C146" s="12" t="s">
        <v>45</v>
      </c>
      <c r="D146" s="12" t="n">
        <v>65</v>
      </c>
      <c r="E146" s="12" t="s">
        <v>363</v>
      </c>
      <c r="F146" s="12" t="s">
        <v>132</v>
      </c>
      <c r="G146" s="12" t="s">
        <v>383</v>
      </c>
      <c r="H146" s="12" t="s">
        <v>259</v>
      </c>
      <c r="I146" s="12" t="s">
        <v>164</v>
      </c>
      <c r="J146" s="12" t="s">
        <v>165</v>
      </c>
      <c r="K146" s="12" t="s">
        <v>16</v>
      </c>
      <c r="L146" s="12" t="s">
        <v>87</v>
      </c>
      <c r="M146" s="11" t="s">
        <v>88</v>
      </c>
    </row>
    <row r="147" customFormat="false" ht="28.35" hidden="false" customHeight="false" outlineLevel="0" collapsed="false">
      <c r="A147" s="11" t="s">
        <v>384</v>
      </c>
      <c r="B147" s="12" t="s">
        <v>46</v>
      </c>
      <c r="C147" s="12" t="s">
        <v>45</v>
      </c>
      <c r="D147" s="12" t="n">
        <v>66</v>
      </c>
      <c r="E147" s="12" t="s">
        <v>363</v>
      </c>
      <c r="F147" s="12" t="s">
        <v>132</v>
      </c>
      <c r="G147" s="12" t="s">
        <v>385</v>
      </c>
      <c r="H147" s="12" t="s">
        <v>259</v>
      </c>
      <c r="I147" s="12" t="s">
        <v>164</v>
      </c>
      <c r="J147" s="12" t="s">
        <v>165</v>
      </c>
      <c r="K147" s="12" t="s">
        <v>16</v>
      </c>
      <c r="L147" s="12" t="s">
        <v>87</v>
      </c>
      <c r="M147" s="11" t="s">
        <v>88</v>
      </c>
    </row>
    <row r="148" customFormat="false" ht="55.2" hidden="false" customHeight="false" outlineLevel="0" collapsed="false">
      <c r="A148" s="11" t="s">
        <v>386</v>
      </c>
      <c r="B148" s="12" t="s">
        <v>46</v>
      </c>
      <c r="C148" s="12" t="s">
        <v>45</v>
      </c>
      <c r="D148" s="12" t="n">
        <v>67</v>
      </c>
      <c r="E148" s="12" t="s">
        <v>363</v>
      </c>
      <c r="F148" s="12" t="s">
        <v>98</v>
      </c>
      <c r="G148" s="12" t="s">
        <v>387</v>
      </c>
      <c r="H148" s="12" t="s">
        <v>259</v>
      </c>
      <c r="I148" s="12" t="s">
        <v>175</v>
      </c>
      <c r="J148" s="12" t="s">
        <v>176</v>
      </c>
      <c r="K148" s="12" t="s">
        <v>22</v>
      </c>
      <c r="L148" s="12" t="s">
        <v>96</v>
      </c>
      <c r="M148" s="11" t="s">
        <v>88</v>
      </c>
    </row>
    <row r="149" customFormat="false" ht="28.35" hidden="false" customHeight="false" outlineLevel="0" collapsed="false">
      <c r="A149" s="11" t="s">
        <v>388</v>
      </c>
      <c r="B149" s="12" t="s">
        <v>46</v>
      </c>
      <c r="C149" s="12" t="s">
        <v>45</v>
      </c>
      <c r="D149" s="12" t="n">
        <v>68</v>
      </c>
      <c r="E149" s="12" t="s">
        <v>389</v>
      </c>
      <c r="F149" s="12" t="s">
        <v>82</v>
      </c>
      <c r="G149" s="12" t="s">
        <v>389</v>
      </c>
      <c r="H149" s="12" t="s">
        <v>259</v>
      </c>
      <c r="I149" s="12" t="s">
        <v>158</v>
      </c>
      <c r="J149" s="12" t="s">
        <v>159</v>
      </c>
      <c r="K149" s="12" t="s">
        <v>19</v>
      </c>
      <c r="L149" s="12" t="s">
        <v>87</v>
      </c>
      <c r="M149" s="11" t="s">
        <v>88</v>
      </c>
    </row>
    <row r="150" customFormat="false" ht="28.35" hidden="false" customHeight="false" outlineLevel="0" collapsed="false">
      <c r="A150" s="11" t="s">
        <v>390</v>
      </c>
      <c r="B150" s="12" t="s">
        <v>46</v>
      </c>
      <c r="C150" s="12" t="s">
        <v>45</v>
      </c>
      <c r="D150" s="12" t="n">
        <v>69</v>
      </c>
      <c r="E150" s="12" t="s">
        <v>389</v>
      </c>
      <c r="F150" s="12" t="s">
        <v>132</v>
      </c>
      <c r="G150" s="12" t="s">
        <v>391</v>
      </c>
      <c r="H150" s="12" t="s">
        <v>259</v>
      </c>
      <c r="I150" s="12" t="s">
        <v>164</v>
      </c>
      <c r="J150" s="12" t="s">
        <v>165</v>
      </c>
      <c r="K150" s="12" t="s">
        <v>16</v>
      </c>
      <c r="L150" s="12" t="s">
        <v>87</v>
      </c>
      <c r="M150" s="11" t="s">
        <v>88</v>
      </c>
    </row>
    <row r="151" customFormat="false" ht="41.75" hidden="false" customHeight="false" outlineLevel="0" collapsed="false">
      <c r="A151" s="11" t="s">
        <v>392</v>
      </c>
      <c r="B151" s="12" t="s">
        <v>46</v>
      </c>
      <c r="C151" s="12" t="s">
        <v>45</v>
      </c>
      <c r="D151" s="12" t="n">
        <v>70</v>
      </c>
      <c r="E151" s="12" t="s">
        <v>389</v>
      </c>
      <c r="F151" s="12" t="s">
        <v>132</v>
      </c>
      <c r="G151" s="12" t="s">
        <v>393</v>
      </c>
      <c r="H151" s="12" t="s">
        <v>259</v>
      </c>
      <c r="I151" s="12" t="s">
        <v>164</v>
      </c>
      <c r="J151" s="12" t="s">
        <v>165</v>
      </c>
      <c r="K151" s="12" t="s">
        <v>16</v>
      </c>
      <c r="L151" s="12" t="s">
        <v>87</v>
      </c>
      <c r="M151" s="11" t="s">
        <v>88</v>
      </c>
    </row>
    <row r="152" customFormat="false" ht="28.35" hidden="false" customHeight="false" outlineLevel="0" collapsed="false">
      <c r="A152" s="11" t="s">
        <v>394</v>
      </c>
      <c r="B152" s="12" t="s">
        <v>46</v>
      </c>
      <c r="C152" s="12" t="s">
        <v>45</v>
      </c>
      <c r="D152" s="12" t="n">
        <v>71</v>
      </c>
      <c r="E152" s="12" t="s">
        <v>389</v>
      </c>
      <c r="F152" s="12" t="s">
        <v>132</v>
      </c>
      <c r="G152" s="12" t="s">
        <v>395</v>
      </c>
      <c r="H152" s="12" t="s">
        <v>259</v>
      </c>
      <c r="I152" s="12" t="s">
        <v>164</v>
      </c>
      <c r="J152" s="12" t="s">
        <v>165</v>
      </c>
      <c r="K152" s="12" t="s">
        <v>16</v>
      </c>
      <c r="L152" s="12" t="s">
        <v>87</v>
      </c>
      <c r="M152" s="11" t="s">
        <v>88</v>
      </c>
    </row>
    <row r="153" customFormat="false" ht="28.35" hidden="false" customHeight="false" outlineLevel="0" collapsed="false">
      <c r="A153" s="11" t="s">
        <v>396</v>
      </c>
      <c r="B153" s="12" t="s">
        <v>46</v>
      </c>
      <c r="C153" s="12" t="s">
        <v>45</v>
      </c>
      <c r="D153" s="12" t="n">
        <v>72</v>
      </c>
      <c r="E153" s="12" t="s">
        <v>389</v>
      </c>
      <c r="F153" s="12" t="s">
        <v>98</v>
      </c>
      <c r="G153" s="12" t="s">
        <v>371</v>
      </c>
      <c r="H153" s="12" t="s">
        <v>259</v>
      </c>
      <c r="I153" s="12" t="s">
        <v>175</v>
      </c>
      <c r="J153" s="12" t="s">
        <v>176</v>
      </c>
      <c r="K153" s="12" t="s">
        <v>22</v>
      </c>
      <c r="L153" s="12" t="s">
        <v>96</v>
      </c>
      <c r="M153" s="11" t="s">
        <v>88</v>
      </c>
    </row>
    <row r="154" customFormat="false" ht="28.35" hidden="false" customHeight="false" outlineLevel="0" collapsed="false">
      <c r="A154" s="11" t="s">
        <v>397</v>
      </c>
      <c r="B154" s="12" t="s">
        <v>46</v>
      </c>
      <c r="C154" s="12" t="s">
        <v>45</v>
      </c>
      <c r="D154" s="12" t="n">
        <v>73</v>
      </c>
      <c r="E154" s="12" t="s">
        <v>389</v>
      </c>
      <c r="F154" s="12" t="s">
        <v>98</v>
      </c>
      <c r="G154" s="12" t="s">
        <v>398</v>
      </c>
      <c r="H154" s="12" t="s">
        <v>259</v>
      </c>
      <c r="I154" s="12" t="s">
        <v>175</v>
      </c>
      <c r="J154" s="12" t="s">
        <v>176</v>
      </c>
      <c r="K154" s="12" t="s">
        <v>22</v>
      </c>
      <c r="L154" s="12" t="s">
        <v>96</v>
      </c>
      <c r="M154" s="11" t="s">
        <v>88</v>
      </c>
    </row>
    <row r="155" customFormat="false" ht="28.35" hidden="false" customHeight="false" outlineLevel="0" collapsed="false">
      <c r="A155" s="11" t="s">
        <v>399</v>
      </c>
      <c r="B155" s="12" t="s">
        <v>46</v>
      </c>
      <c r="C155" s="12" t="s">
        <v>45</v>
      </c>
      <c r="D155" s="12" t="n">
        <v>74</v>
      </c>
      <c r="E155" s="12" t="s">
        <v>389</v>
      </c>
      <c r="F155" s="12" t="s">
        <v>98</v>
      </c>
      <c r="G155" s="12" t="s">
        <v>400</v>
      </c>
      <c r="H155" s="12" t="s">
        <v>259</v>
      </c>
      <c r="I155" s="12" t="s">
        <v>175</v>
      </c>
      <c r="J155" s="12" t="s">
        <v>176</v>
      </c>
      <c r="K155" s="12" t="s">
        <v>22</v>
      </c>
      <c r="L155" s="12" t="s">
        <v>96</v>
      </c>
      <c r="M155" s="11" t="s">
        <v>88</v>
      </c>
    </row>
    <row r="156" customFormat="false" ht="41.75" hidden="false" customHeight="false" outlineLevel="0" collapsed="false">
      <c r="A156" s="11" t="s">
        <v>401</v>
      </c>
      <c r="B156" s="12" t="s">
        <v>46</v>
      </c>
      <c r="C156" s="12" t="s">
        <v>45</v>
      </c>
      <c r="D156" s="12" t="n">
        <v>75</v>
      </c>
      <c r="E156" s="12" t="s">
        <v>389</v>
      </c>
      <c r="F156" s="12" t="s">
        <v>98</v>
      </c>
      <c r="G156" s="12" t="s">
        <v>402</v>
      </c>
      <c r="H156" s="12" t="s">
        <v>259</v>
      </c>
      <c r="I156" s="12" t="s">
        <v>175</v>
      </c>
      <c r="J156" s="12" t="s">
        <v>176</v>
      </c>
      <c r="K156" s="12" t="s">
        <v>22</v>
      </c>
      <c r="L156" s="12" t="s">
        <v>96</v>
      </c>
      <c r="M156" s="11" t="s">
        <v>88</v>
      </c>
    </row>
    <row r="157" customFormat="false" ht="28.35" hidden="false" customHeight="false" outlineLevel="0" collapsed="false">
      <c r="A157" s="11" t="s">
        <v>403</v>
      </c>
      <c r="B157" s="12" t="s">
        <v>46</v>
      </c>
      <c r="C157" s="12" t="s">
        <v>45</v>
      </c>
      <c r="D157" s="12" t="n">
        <v>76</v>
      </c>
      <c r="E157" s="12" t="s">
        <v>389</v>
      </c>
      <c r="F157" s="12" t="s">
        <v>132</v>
      </c>
      <c r="G157" s="12" t="s">
        <v>404</v>
      </c>
      <c r="H157" s="12" t="s">
        <v>259</v>
      </c>
      <c r="I157" s="12" t="s">
        <v>164</v>
      </c>
      <c r="J157" s="12" t="s">
        <v>165</v>
      </c>
      <c r="K157" s="12" t="s">
        <v>16</v>
      </c>
      <c r="L157" s="12" t="s">
        <v>87</v>
      </c>
      <c r="M157" s="11" t="s">
        <v>88</v>
      </c>
    </row>
    <row r="158" customFormat="false" ht="41.75" hidden="false" customHeight="false" outlineLevel="0" collapsed="false">
      <c r="A158" s="11" t="s">
        <v>405</v>
      </c>
      <c r="B158" s="12" t="s">
        <v>46</v>
      </c>
      <c r="C158" s="12" t="s">
        <v>45</v>
      </c>
      <c r="D158" s="12" t="n">
        <v>77</v>
      </c>
      <c r="E158" s="12" t="s">
        <v>389</v>
      </c>
      <c r="F158" s="12" t="s">
        <v>132</v>
      </c>
      <c r="G158" s="12" t="s">
        <v>406</v>
      </c>
      <c r="H158" s="12" t="s">
        <v>259</v>
      </c>
      <c r="I158" s="12" t="s">
        <v>164</v>
      </c>
      <c r="J158" s="12" t="s">
        <v>165</v>
      </c>
      <c r="K158" s="12" t="s">
        <v>16</v>
      </c>
      <c r="L158" s="12" t="s">
        <v>87</v>
      </c>
      <c r="M158" s="11" t="s">
        <v>88</v>
      </c>
    </row>
    <row r="159" customFormat="false" ht="28.35" hidden="false" customHeight="false" outlineLevel="0" collapsed="false">
      <c r="A159" s="11" t="s">
        <v>407</v>
      </c>
      <c r="B159" s="12" t="s">
        <v>46</v>
      </c>
      <c r="C159" s="12" t="s">
        <v>45</v>
      </c>
      <c r="D159" s="12" t="n">
        <v>78</v>
      </c>
      <c r="E159" s="12" t="s">
        <v>389</v>
      </c>
      <c r="F159" s="12" t="s">
        <v>98</v>
      </c>
      <c r="G159" s="12" t="s">
        <v>408</v>
      </c>
      <c r="H159" s="12" t="s">
        <v>259</v>
      </c>
      <c r="I159" s="12" t="s">
        <v>175</v>
      </c>
      <c r="J159" s="12" t="s">
        <v>176</v>
      </c>
      <c r="K159" s="12" t="s">
        <v>22</v>
      </c>
      <c r="L159" s="12" t="s">
        <v>96</v>
      </c>
      <c r="M159" s="11" t="s">
        <v>88</v>
      </c>
    </row>
    <row r="160" customFormat="false" ht="28.35" hidden="false" customHeight="false" outlineLevel="0" collapsed="false">
      <c r="A160" s="11" t="s">
        <v>409</v>
      </c>
      <c r="B160" s="12" t="s">
        <v>46</v>
      </c>
      <c r="C160" s="12" t="s">
        <v>45</v>
      </c>
      <c r="D160" s="12" t="n">
        <v>79</v>
      </c>
      <c r="E160" s="12" t="s">
        <v>410</v>
      </c>
      <c r="F160" s="12" t="s">
        <v>82</v>
      </c>
      <c r="G160" s="12" t="s">
        <v>410</v>
      </c>
      <c r="H160" s="12" t="s">
        <v>259</v>
      </c>
      <c r="I160" s="12" t="s">
        <v>411</v>
      </c>
      <c r="J160" s="12" t="s">
        <v>412</v>
      </c>
      <c r="K160" s="12" t="s">
        <v>413</v>
      </c>
      <c r="L160" s="12" t="s">
        <v>87</v>
      </c>
      <c r="M160" s="11" t="s">
        <v>88</v>
      </c>
    </row>
    <row r="161" customFormat="false" ht="28.35" hidden="false" customHeight="false" outlineLevel="0" collapsed="false">
      <c r="A161" s="11" t="s">
        <v>414</v>
      </c>
      <c r="B161" s="12" t="s">
        <v>46</v>
      </c>
      <c r="C161" s="12" t="s">
        <v>45</v>
      </c>
      <c r="D161" s="12" t="n">
        <v>80</v>
      </c>
      <c r="E161" s="12" t="s">
        <v>410</v>
      </c>
      <c r="F161" s="12" t="s">
        <v>132</v>
      </c>
      <c r="G161" s="12" t="s">
        <v>415</v>
      </c>
      <c r="H161" s="12" t="s">
        <v>259</v>
      </c>
      <c r="I161" s="12" t="s">
        <v>411</v>
      </c>
      <c r="J161" s="12" t="s">
        <v>412</v>
      </c>
      <c r="K161" s="12" t="s">
        <v>413</v>
      </c>
      <c r="L161" s="12" t="s">
        <v>87</v>
      </c>
      <c r="M161" s="11" t="s">
        <v>88</v>
      </c>
    </row>
    <row r="162" customFormat="false" ht="28.35" hidden="false" customHeight="false" outlineLevel="0" collapsed="false">
      <c r="A162" s="11" t="s">
        <v>416</v>
      </c>
      <c r="B162" s="12" t="s">
        <v>46</v>
      </c>
      <c r="C162" s="12" t="s">
        <v>45</v>
      </c>
      <c r="D162" s="12" t="n">
        <v>81</v>
      </c>
      <c r="E162" s="12" t="s">
        <v>410</v>
      </c>
      <c r="F162" s="12" t="s">
        <v>132</v>
      </c>
      <c r="G162" s="12" t="s">
        <v>417</v>
      </c>
      <c r="H162" s="12" t="s">
        <v>259</v>
      </c>
      <c r="I162" s="12" t="s">
        <v>411</v>
      </c>
      <c r="J162" s="12" t="s">
        <v>412</v>
      </c>
      <c r="K162" s="12" t="s">
        <v>413</v>
      </c>
      <c r="L162" s="12" t="s">
        <v>87</v>
      </c>
      <c r="M162" s="11" t="s">
        <v>88</v>
      </c>
    </row>
    <row r="163" customFormat="false" ht="28.35" hidden="false" customHeight="false" outlineLevel="0" collapsed="false">
      <c r="A163" s="11" t="s">
        <v>418</v>
      </c>
      <c r="B163" s="12" t="s">
        <v>46</v>
      </c>
      <c r="C163" s="12" t="s">
        <v>45</v>
      </c>
      <c r="D163" s="12" t="n">
        <v>82</v>
      </c>
      <c r="E163" s="12" t="s">
        <v>410</v>
      </c>
      <c r="F163" s="12" t="s">
        <v>132</v>
      </c>
      <c r="G163" s="12" t="s">
        <v>419</v>
      </c>
      <c r="H163" s="12" t="s">
        <v>259</v>
      </c>
      <c r="I163" s="12" t="s">
        <v>411</v>
      </c>
      <c r="J163" s="12" t="s">
        <v>412</v>
      </c>
      <c r="K163" s="12" t="s">
        <v>413</v>
      </c>
      <c r="L163" s="12" t="s">
        <v>87</v>
      </c>
      <c r="M163" s="11" t="s">
        <v>88</v>
      </c>
    </row>
    <row r="164" customFormat="false" ht="28.35" hidden="false" customHeight="false" outlineLevel="0" collapsed="false">
      <c r="A164" s="11" t="s">
        <v>420</v>
      </c>
      <c r="B164" s="12" t="s">
        <v>46</v>
      </c>
      <c r="C164" s="12" t="s">
        <v>45</v>
      </c>
      <c r="D164" s="12" t="n">
        <v>83</v>
      </c>
      <c r="E164" s="12" t="s">
        <v>410</v>
      </c>
      <c r="F164" s="12" t="s">
        <v>132</v>
      </c>
      <c r="G164" s="12" t="s">
        <v>421</v>
      </c>
      <c r="H164" s="12" t="s">
        <v>259</v>
      </c>
      <c r="I164" s="12" t="s">
        <v>411</v>
      </c>
      <c r="J164" s="12" t="s">
        <v>412</v>
      </c>
      <c r="K164" s="12" t="s">
        <v>413</v>
      </c>
      <c r="L164" s="12" t="s">
        <v>87</v>
      </c>
      <c r="M164" s="11" t="s">
        <v>88</v>
      </c>
    </row>
    <row r="165" customFormat="false" ht="28.35" hidden="false" customHeight="false" outlineLevel="0" collapsed="false">
      <c r="A165" s="11" t="s">
        <v>422</v>
      </c>
      <c r="B165" s="12" t="s">
        <v>46</v>
      </c>
      <c r="C165" s="12" t="s">
        <v>45</v>
      </c>
      <c r="D165" s="12" t="n">
        <v>84</v>
      </c>
      <c r="E165" s="12" t="s">
        <v>410</v>
      </c>
      <c r="F165" s="12" t="s">
        <v>132</v>
      </c>
      <c r="G165" s="12" t="s">
        <v>423</v>
      </c>
      <c r="H165" s="12" t="s">
        <v>259</v>
      </c>
      <c r="I165" s="12" t="s">
        <v>411</v>
      </c>
      <c r="J165" s="12" t="s">
        <v>412</v>
      </c>
      <c r="K165" s="12" t="s">
        <v>413</v>
      </c>
      <c r="L165" s="12" t="s">
        <v>87</v>
      </c>
      <c r="M165" s="11" t="s">
        <v>88</v>
      </c>
    </row>
    <row r="166" customFormat="false" ht="28.35" hidden="false" customHeight="false" outlineLevel="0" collapsed="false">
      <c r="A166" s="11" t="s">
        <v>424</v>
      </c>
      <c r="B166" s="12" t="s">
        <v>46</v>
      </c>
      <c r="C166" s="12" t="s">
        <v>45</v>
      </c>
      <c r="D166" s="12" t="n">
        <v>85</v>
      </c>
      <c r="E166" s="12" t="s">
        <v>410</v>
      </c>
      <c r="F166" s="12" t="s">
        <v>132</v>
      </c>
      <c r="G166" s="12" t="s">
        <v>425</v>
      </c>
      <c r="H166" s="12" t="s">
        <v>259</v>
      </c>
      <c r="I166" s="12" t="s">
        <v>411</v>
      </c>
      <c r="J166" s="12" t="s">
        <v>412</v>
      </c>
      <c r="K166" s="12" t="s">
        <v>413</v>
      </c>
      <c r="L166" s="12" t="s">
        <v>87</v>
      </c>
      <c r="M166" s="11" t="s">
        <v>88</v>
      </c>
    </row>
    <row r="167" customFormat="false" ht="28.35" hidden="false" customHeight="false" outlineLevel="0" collapsed="false">
      <c r="A167" s="11" t="s">
        <v>426</v>
      </c>
      <c r="B167" s="12" t="s">
        <v>46</v>
      </c>
      <c r="C167" s="12" t="s">
        <v>45</v>
      </c>
      <c r="D167" s="12" t="n">
        <v>86</v>
      </c>
      <c r="E167" s="12" t="s">
        <v>410</v>
      </c>
      <c r="F167" s="12" t="s">
        <v>132</v>
      </c>
      <c r="G167" s="12" t="s">
        <v>427</v>
      </c>
      <c r="H167" s="12" t="s">
        <v>259</v>
      </c>
      <c r="I167" s="12" t="s">
        <v>411</v>
      </c>
      <c r="J167" s="12" t="s">
        <v>412</v>
      </c>
      <c r="K167" s="12" t="s">
        <v>413</v>
      </c>
      <c r="L167" s="12" t="s">
        <v>87</v>
      </c>
      <c r="M167" s="11" t="s">
        <v>88</v>
      </c>
    </row>
    <row r="168" customFormat="false" ht="28.35" hidden="false" customHeight="false" outlineLevel="0" collapsed="false">
      <c r="A168" s="11" t="s">
        <v>428</v>
      </c>
      <c r="B168" s="12" t="s">
        <v>46</v>
      </c>
      <c r="C168" s="12" t="s">
        <v>45</v>
      </c>
      <c r="D168" s="12" t="n">
        <v>87</v>
      </c>
      <c r="E168" s="12" t="s">
        <v>410</v>
      </c>
      <c r="F168" s="12" t="s">
        <v>132</v>
      </c>
      <c r="G168" s="12" t="s">
        <v>429</v>
      </c>
      <c r="H168" s="12" t="s">
        <v>259</v>
      </c>
      <c r="I168" s="12" t="s">
        <v>411</v>
      </c>
      <c r="J168" s="12" t="s">
        <v>412</v>
      </c>
      <c r="K168" s="12" t="s">
        <v>413</v>
      </c>
      <c r="L168" s="12" t="s">
        <v>87</v>
      </c>
      <c r="M168" s="11" t="s">
        <v>88</v>
      </c>
    </row>
    <row r="169" customFormat="false" ht="28.35" hidden="false" customHeight="false" outlineLevel="0" collapsed="false">
      <c r="A169" s="11" t="s">
        <v>430</v>
      </c>
      <c r="B169" s="12" t="s">
        <v>46</v>
      </c>
      <c r="C169" s="12" t="s">
        <v>45</v>
      </c>
      <c r="D169" s="12" t="n">
        <v>88</v>
      </c>
      <c r="E169" s="12" t="s">
        <v>410</v>
      </c>
      <c r="F169" s="12" t="s">
        <v>132</v>
      </c>
      <c r="G169" s="12" t="s">
        <v>431</v>
      </c>
      <c r="H169" s="12" t="s">
        <v>259</v>
      </c>
      <c r="I169" s="12" t="s">
        <v>411</v>
      </c>
      <c r="J169" s="12" t="s">
        <v>412</v>
      </c>
      <c r="K169" s="12" t="s">
        <v>413</v>
      </c>
      <c r="L169" s="12" t="s">
        <v>87</v>
      </c>
      <c r="M169" s="11" t="s">
        <v>88</v>
      </c>
    </row>
    <row r="170" customFormat="false" ht="28.35" hidden="false" customHeight="false" outlineLevel="0" collapsed="false">
      <c r="A170" s="11" t="s">
        <v>432</v>
      </c>
      <c r="B170" s="12" t="s">
        <v>46</v>
      </c>
      <c r="C170" s="12" t="s">
        <v>45</v>
      </c>
      <c r="D170" s="12" t="n">
        <v>89</v>
      </c>
      <c r="E170" s="12" t="s">
        <v>410</v>
      </c>
      <c r="F170" s="12" t="s">
        <v>132</v>
      </c>
      <c r="G170" s="12" t="s">
        <v>433</v>
      </c>
      <c r="H170" s="12" t="s">
        <v>259</v>
      </c>
      <c r="I170" s="12" t="s">
        <v>411</v>
      </c>
      <c r="J170" s="12" t="s">
        <v>412</v>
      </c>
      <c r="K170" s="12" t="s">
        <v>413</v>
      </c>
      <c r="L170" s="12" t="s">
        <v>87</v>
      </c>
      <c r="M170" s="11" t="s">
        <v>88</v>
      </c>
    </row>
    <row r="171" customFormat="false" ht="28.35" hidden="false" customHeight="false" outlineLevel="0" collapsed="false">
      <c r="A171" s="11" t="s">
        <v>434</v>
      </c>
      <c r="B171" s="12" t="s">
        <v>46</v>
      </c>
      <c r="C171" s="12" t="s">
        <v>45</v>
      </c>
      <c r="D171" s="12" t="n">
        <v>90</v>
      </c>
      <c r="E171" s="12" t="s">
        <v>410</v>
      </c>
      <c r="F171" s="12" t="s">
        <v>132</v>
      </c>
      <c r="G171" s="12" t="s">
        <v>435</v>
      </c>
      <c r="H171" s="12" t="s">
        <v>259</v>
      </c>
      <c r="I171" s="12" t="s">
        <v>411</v>
      </c>
      <c r="J171" s="12" t="s">
        <v>412</v>
      </c>
      <c r="K171" s="12" t="s">
        <v>413</v>
      </c>
      <c r="L171" s="12" t="s">
        <v>87</v>
      </c>
      <c r="M171" s="11" t="s">
        <v>88</v>
      </c>
    </row>
    <row r="172" customFormat="false" ht="28.35" hidden="false" customHeight="false" outlineLevel="0" collapsed="false">
      <c r="A172" s="11" t="s">
        <v>436</v>
      </c>
      <c r="B172" s="12" t="s">
        <v>46</v>
      </c>
      <c r="C172" s="12" t="s">
        <v>45</v>
      </c>
      <c r="D172" s="12" t="n">
        <v>91</v>
      </c>
      <c r="E172" s="12" t="s">
        <v>410</v>
      </c>
      <c r="F172" s="12" t="s">
        <v>132</v>
      </c>
      <c r="G172" s="12" t="s">
        <v>437</v>
      </c>
      <c r="H172" s="12" t="s">
        <v>259</v>
      </c>
      <c r="I172" s="12" t="s">
        <v>411</v>
      </c>
      <c r="J172" s="12" t="s">
        <v>412</v>
      </c>
      <c r="K172" s="12" t="s">
        <v>413</v>
      </c>
      <c r="L172" s="12" t="s">
        <v>87</v>
      </c>
      <c r="M172" s="11" t="s">
        <v>88</v>
      </c>
    </row>
    <row r="173" customFormat="false" ht="28.35" hidden="false" customHeight="false" outlineLevel="0" collapsed="false">
      <c r="A173" s="11" t="s">
        <v>438</v>
      </c>
      <c r="B173" s="12" t="s">
        <v>46</v>
      </c>
      <c r="C173" s="12" t="s">
        <v>45</v>
      </c>
      <c r="D173" s="12" t="n">
        <v>92</v>
      </c>
      <c r="E173" s="12" t="s">
        <v>410</v>
      </c>
      <c r="F173" s="12" t="s">
        <v>132</v>
      </c>
      <c r="G173" s="12" t="s">
        <v>439</v>
      </c>
      <c r="H173" s="12" t="s">
        <v>259</v>
      </c>
      <c r="I173" s="12" t="s">
        <v>411</v>
      </c>
      <c r="J173" s="12" t="s">
        <v>412</v>
      </c>
      <c r="K173" s="12" t="s">
        <v>413</v>
      </c>
      <c r="L173" s="12" t="s">
        <v>87</v>
      </c>
      <c r="M173" s="11" t="s">
        <v>88</v>
      </c>
    </row>
    <row r="174" customFormat="false" ht="28.35" hidden="false" customHeight="false" outlineLevel="0" collapsed="false">
      <c r="A174" s="11" t="s">
        <v>440</v>
      </c>
      <c r="B174" s="12" t="s">
        <v>46</v>
      </c>
      <c r="C174" s="12" t="s">
        <v>45</v>
      </c>
      <c r="D174" s="12" t="n">
        <v>93</v>
      </c>
      <c r="E174" s="12" t="s">
        <v>410</v>
      </c>
      <c r="F174" s="12" t="s">
        <v>132</v>
      </c>
      <c r="G174" s="12" t="s">
        <v>441</v>
      </c>
      <c r="H174" s="12" t="s">
        <v>259</v>
      </c>
      <c r="I174" s="12" t="s">
        <v>411</v>
      </c>
      <c r="J174" s="12" t="s">
        <v>412</v>
      </c>
      <c r="K174" s="12" t="s">
        <v>413</v>
      </c>
      <c r="L174" s="12" t="s">
        <v>87</v>
      </c>
      <c r="M174" s="11" t="s">
        <v>88</v>
      </c>
    </row>
    <row r="175" customFormat="false" ht="28.35" hidden="false" customHeight="false" outlineLevel="0" collapsed="false">
      <c r="A175" s="11" t="s">
        <v>442</v>
      </c>
      <c r="B175" s="12" t="s">
        <v>46</v>
      </c>
      <c r="C175" s="12" t="s">
        <v>45</v>
      </c>
      <c r="D175" s="12" t="n">
        <v>94</v>
      </c>
      <c r="E175" s="12" t="s">
        <v>410</v>
      </c>
      <c r="F175" s="12" t="s">
        <v>132</v>
      </c>
      <c r="G175" s="12" t="s">
        <v>443</v>
      </c>
      <c r="H175" s="12" t="s">
        <v>259</v>
      </c>
      <c r="I175" s="12" t="s">
        <v>411</v>
      </c>
      <c r="J175" s="12" t="s">
        <v>412</v>
      </c>
      <c r="K175" s="12" t="s">
        <v>413</v>
      </c>
      <c r="L175" s="12" t="s">
        <v>87</v>
      </c>
      <c r="M175" s="11" t="s">
        <v>88</v>
      </c>
    </row>
    <row r="176" customFormat="false" ht="28.35" hidden="false" customHeight="false" outlineLevel="0" collapsed="false">
      <c r="A176" s="11" t="s">
        <v>444</v>
      </c>
      <c r="B176" s="12" t="s">
        <v>46</v>
      </c>
      <c r="C176" s="12" t="s">
        <v>45</v>
      </c>
      <c r="D176" s="12" t="n">
        <v>95</v>
      </c>
      <c r="E176" s="12" t="s">
        <v>410</v>
      </c>
      <c r="F176" s="12" t="s">
        <v>132</v>
      </c>
      <c r="G176" s="12" t="s">
        <v>445</v>
      </c>
      <c r="H176" s="12" t="s">
        <v>259</v>
      </c>
      <c r="I176" s="12" t="s">
        <v>411</v>
      </c>
      <c r="J176" s="12" t="s">
        <v>412</v>
      </c>
      <c r="K176" s="12" t="s">
        <v>413</v>
      </c>
      <c r="L176" s="12" t="s">
        <v>87</v>
      </c>
      <c r="M176" s="11" t="s">
        <v>88</v>
      </c>
    </row>
    <row r="177" customFormat="false" ht="28.35" hidden="false" customHeight="false" outlineLevel="0" collapsed="false">
      <c r="A177" s="11" t="s">
        <v>446</v>
      </c>
      <c r="B177" s="12" t="s">
        <v>46</v>
      </c>
      <c r="C177" s="12" t="s">
        <v>45</v>
      </c>
      <c r="D177" s="12" t="n">
        <v>96</v>
      </c>
      <c r="E177" s="12" t="s">
        <v>447</v>
      </c>
      <c r="F177" s="12" t="s">
        <v>82</v>
      </c>
      <c r="G177" s="12" t="s">
        <v>447</v>
      </c>
      <c r="H177" s="12" t="s">
        <v>259</v>
      </c>
      <c r="I177" s="12" t="s">
        <v>158</v>
      </c>
      <c r="J177" s="12" t="s">
        <v>159</v>
      </c>
      <c r="K177" s="12" t="s">
        <v>19</v>
      </c>
      <c r="L177" s="12" t="s">
        <v>87</v>
      </c>
      <c r="M177" s="11" t="s">
        <v>88</v>
      </c>
    </row>
    <row r="178" customFormat="false" ht="28.35" hidden="false" customHeight="false" outlineLevel="0" collapsed="false">
      <c r="A178" s="11" t="s">
        <v>448</v>
      </c>
      <c r="B178" s="12" t="s">
        <v>46</v>
      </c>
      <c r="C178" s="12" t="s">
        <v>45</v>
      </c>
      <c r="D178" s="12" t="n">
        <v>97</v>
      </c>
      <c r="E178" s="12" t="s">
        <v>449</v>
      </c>
      <c r="F178" s="12" t="s">
        <v>82</v>
      </c>
      <c r="G178" s="12" t="s">
        <v>449</v>
      </c>
      <c r="H178" s="12" t="s">
        <v>259</v>
      </c>
      <c r="I178" s="12" t="s">
        <v>411</v>
      </c>
      <c r="J178" s="12" t="s">
        <v>412</v>
      </c>
      <c r="K178" s="12" t="s">
        <v>413</v>
      </c>
      <c r="L178" s="12" t="s">
        <v>87</v>
      </c>
      <c r="M178" s="11" t="s">
        <v>88</v>
      </c>
    </row>
    <row r="179" customFormat="false" ht="41.75" hidden="false" customHeight="false" outlineLevel="0" collapsed="false">
      <c r="A179" s="11" t="s">
        <v>450</v>
      </c>
      <c r="B179" s="12" t="s">
        <v>46</v>
      </c>
      <c r="C179" s="12" t="s">
        <v>45</v>
      </c>
      <c r="D179" s="12" t="n">
        <v>98</v>
      </c>
      <c r="E179" s="12" t="s">
        <v>449</v>
      </c>
      <c r="F179" s="12" t="s">
        <v>132</v>
      </c>
      <c r="G179" s="12" t="s">
        <v>451</v>
      </c>
      <c r="H179" s="12" t="s">
        <v>259</v>
      </c>
      <c r="I179" s="12" t="s">
        <v>411</v>
      </c>
      <c r="J179" s="12" t="s">
        <v>412</v>
      </c>
      <c r="K179" s="12" t="s">
        <v>413</v>
      </c>
      <c r="L179" s="12" t="s">
        <v>87</v>
      </c>
      <c r="M179" s="11" t="s">
        <v>88</v>
      </c>
    </row>
    <row r="180" customFormat="false" ht="41.75" hidden="false" customHeight="false" outlineLevel="0" collapsed="false">
      <c r="A180" s="11" t="s">
        <v>452</v>
      </c>
      <c r="B180" s="12" t="s">
        <v>46</v>
      </c>
      <c r="C180" s="12" t="s">
        <v>45</v>
      </c>
      <c r="D180" s="12" t="n">
        <v>99</v>
      </c>
      <c r="E180" s="12" t="s">
        <v>449</v>
      </c>
      <c r="F180" s="12" t="s">
        <v>132</v>
      </c>
      <c r="G180" s="12" t="s">
        <v>453</v>
      </c>
      <c r="H180" s="12" t="s">
        <v>259</v>
      </c>
      <c r="I180" s="12" t="s">
        <v>411</v>
      </c>
      <c r="J180" s="12" t="s">
        <v>412</v>
      </c>
      <c r="K180" s="12" t="s">
        <v>413</v>
      </c>
      <c r="L180" s="12" t="s">
        <v>87</v>
      </c>
      <c r="M180" s="11" t="s">
        <v>88</v>
      </c>
    </row>
    <row r="181" customFormat="false" ht="28.35" hidden="false" customHeight="false" outlineLevel="0" collapsed="false">
      <c r="A181" s="11" t="s">
        <v>454</v>
      </c>
      <c r="B181" s="12" t="s">
        <v>46</v>
      </c>
      <c r="C181" s="12" t="s">
        <v>45</v>
      </c>
      <c r="D181" s="12" t="n">
        <v>100</v>
      </c>
      <c r="E181" s="12" t="s">
        <v>449</v>
      </c>
      <c r="F181" s="12" t="s">
        <v>132</v>
      </c>
      <c r="G181" s="12" t="s">
        <v>455</v>
      </c>
      <c r="H181" s="12" t="s">
        <v>259</v>
      </c>
      <c r="I181" s="12" t="s">
        <v>411</v>
      </c>
      <c r="J181" s="12" t="s">
        <v>412</v>
      </c>
      <c r="K181" s="12" t="s">
        <v>413</v>
      </c>
      <c r="L181" s="12" t="s">
        <v>87</v>
      </c>
      <c r="M181" s="11" t="s">
        <v>88</v>
      </c>
    </row>
    <row r="182" customFormat="false" ht="28.35" hidden="false" customHeight="false" outlineLevel="0" collapsed="false">
      <c r="A182" s="11" t="s">
        <v>456</v>
      </c>
      <c r="B182" s="12" t="s">
        <v>46</v>
      </c>
      <c r="C182" s="12" t="s">
        <v>45</v>
      </c>
      <c r="D182" s="12" t="n">
        <v>101</v>
      </c>
      <c r="E182" s="12" t="s">
        <v>449</v>
      </c>
      <c r="F182" s="12" t="s">
        <v>132</v>
      </c>
      <c r="G182" s="12" t="s">
        <v>457</v>
      </c>
      <c r="H182" s="12" t="s">
        <v>259</v>
      </c>
      <c r="I182" s="12" t="s">
        <v>411</v>
      </c>
      <c r="J182" s="12" t="s">
        <v>412</v>
      </c>
      <c r="K182" s="12" t="s">
        <v>413</v>
      </c>
      <c r="L182" s="12" t="s">
        <v>87</v>
      </c>
      <c r="M182" s="11" t="s">
        <v>88</v>
      </c>
    </row>
    <row r="183" customFormat="false" ht="28.35" hidden="false" customHeight="false" outlineLevel="0" collapsed="false">
      <c r="A183" s="11" t="s">
        <v>458</v>
      </c>
      <c r="B183" s="12" t="s">
        <v>46</v>
      </c>
      <c r="C183" s="12" t="s">
        <v>45</v>
      </c>
      <c r="D183" s="12" t="n">
        <v>102</v>
      </c>
      <c r="E183" s="12" t="s">
        <v>449</v>
      </c>
      <c r="F183" s="12" t="s">
        <v>98</v>
      </c>
      <c r="G183" s="12" t="s">
        <v>459</v>
      </c>
      <c r="H183" s="12" t="s">
        <v>259</v>
      </c>
      <c r="I183" s="12" t="s">
        <v>411</v>
      </c>
      <c r="J183" s="12" t="s">
        <v>412</v>
      </c>
      <c r="K183" s="12" t="s">
        <v>413</v>
      </c>
      <c r="L183" s="12" t="s">
        <v>87</v>
      </c>
      <c r="M183" s="11" t="s">
        <v>88</v>
      </c>
    </row>
    <row r="184" customFormat="false" ht="28.35" hidden="false" customHeight="false" outlineLevel="0" collapsed="false">
      <c r="A184" s="11" t="s">
        <v>460</v>
      </c>
      <c r="B184" s="12" t="s">
        <v>46</v>
      </c>
      <c r="C184" s="12" t="s">
        <v>45</v>
      </c>
      <c r="D184" s="12" t="n">
        <v>103</v>
      </c>
      <c r="E184" s="12" t="s">
        <v>449</v>
      </c>
      <c r="F184" s="12" t="s">
        <v>98</v>
      </c>
      <c r="G184" s="12" t="s">
        <v>461</v>
      </c>
      <c r="H184" s="12" t="s">
        <v>259</v>
      </c>
      <c r="I184" s="12" t="s">
        <v>411</v>
      </c>
      <c r="J184" s="12" t="s">
        <v>412</v>
      </c>
      <c r="K184" s="12" t="s">
        <v>413</v>
      </c>
      <c r="L184" s="12" t="s">
        <v>87</v>
      </c>
      <c r="M184" s="11" t="s">
        <v>88</v>
      </c>
    </row>
    <row r="185" customFormat="false" ht="28.35" hidden="false" customHeight="false" outlineLevel="0" collapsed="false">
      <c r="A185" s="11" t="s">
        <v>462</v>
      </c>
      <c r="B185" s="12" t="s">
        <v>46</v>
      </c>
      <c r="C185" s="12" t="s">
        <v>45</v>
      </c>
      <c r="D185" s="12" t="n">
        <v>104</v>
      </c>
      <c r="E185" s="12" t="s">
        <v>449</v>
      </c>
      <c r="F185" s="12" t="s">
        <v>98</v>
      </c>
      <c r="G185" s="12" t="s">
        <v>463</v>
      </c>
      <c r="H185" s="12" t="s">
        <v>259</v>
      </c>
      <c r="I185" s="12" t="s">
        <v>411</v>
      </c>
      <c r="J185" s="12" t="s">
        <v>412</v>
      </c>
      <c r="K185" s="12" t="s">
        <v>413</v>
      </c>
      <c r="L185" s="12" t="s">
        <v>87</v>
      </c>
      <c r="M185" s="11" t="s">
        <v>88</v>
      </c>
    </row>
    <row r="186" customFormat="false" ht="28.35" hidden="false" customHeight="false" outlineLevel="0" collapsed="false">
      <c r="A186" s="11" t="s">
        <v>464</v>
      </c>
      <c r="B186" s="12" t="s">
        <v>46</v>
      </c>
      <c r="C186" s="12" t="s">
        <v>45</v>
      </c>
      <c r="D186" s="12" t="n">
        <v>105</v>
      </c>
      <c r="E186" s="12" t="s">
        <v>449</v>
      </c>
      <c r="F186" s="12" t="s">
        <v>98</v>
      </c>
      <c r="G186" s="12" t="s">
        <v>465</v>
      </c>
      <c r="H186" s="12" t="s">
        <v>259</v>
      </c>
      <c r="I186" s="12" t="s">
        <v>411</v>
      </c>
      <c r="J186" s="12" t="s">
        <v>412</v>
      </c>
      <c r="K186" s="12" t="s">
        <v>413</v>
      </c>
      <c r="L186" s="12" t="s">
        <v>87</v>
      </c>
      <c r="M186" s="11" t="s">
        <v>88</v>
      </c>
    </row>
    <row r="187" customFormat="false" ht="28.35" hidden="false" customHeight="false" outlineLevel="0" collapsed="false">
      <c r="A187" s="11" t="s">
        <v>466</v>
      </c>
      <c r="B187" s="12" t="s">
        <v>46</v>
      </c>
      <c r="C187" s="12" t="s">
        <v>45</v>
      </c>
      <c r="D187" s="12" t="n">
        <v>106</v>
      </c>
      <c r="E187" s="12" t="s">
        <v>467</v>
      </c>
      <c r="F187" s="12" t="s">
        <v>82</v>
      </c>
      <c r="G187" s="12" t="s">
        <v>467</v>
      </c>
      <c r="H187" s="12" t="s">
        <v>259</v>
      </c>
      <c r="I187" s="12" t="s">
        <v>158</v>
      </c>
      <c r="J187" s="12" t="s">
        <v>159</v>
      </c>
      <c r="K187" s="12" t="s">
        <v>19</v>
      </c>
      <c r="L187" s="12" t="s">
        <v>87</v>
      </c>
      <c r="M187" s="11" t="s">
        <v>88</v>
      </c>
    </row>
    <row r="188" customFormat="false" ht="28.35" hidden="false" customHeight="false" outlineLevel="0" collapsed="false">
      <c r="A188" s="11" t="s">
        <v>468</v>
      </c>
      <c r="B188" s="12" t="s">
        <v>46</v>
      </c>
      <c r="C188" s="12" t="s">
        <v>45</v>
      </c>
      <c r="D188" s="12" t="n">
        <v>107</v>
      </c>
      <c r="E188" s="12" t="s">
        <v>467</v>
      </c>
      <c r="F188" s="12" t="s">
        <v>132</v>
      </c>
      <c r="G188" s="12" t="s">
        <v>469</v>
      </c>
      <c r="H188" s="12" t="s">
        <v>259</v>
      </c>
      <c r="I188" s="12" t="s">
        <v>164</v>
      </c>
      <c r="J188" s="12" t="s">
        <v>165</v>
      </c>
      <c r="K188" s="12" t="s">
        <v>16</v>
      </c>
      <c r="L188" s="12" t="s">
        <v>87</v>
      </c>
      <c r="M188" s="11" t="s">
        <v>88</v>
      </c>
    </row>
    <row r="189" customFormat="false" ht="28.35" hidden="false" customHeight="false" outlineLevel="0" collapsed="false">
      <c r="A189" s="11" t="s">
        <v>470</v>
      </c>
      <c r="B189" s="12" t="s">
        <v>46</v>
      </c>
      <c r="C189" s="12" t="s">
        <v>45</v>
      </c>
      <c r="D189" s="12" t="n">
        <v>108</v>
      </c>
      <c r="E189" s="12" t="s">
        <v>467</v>
      </c>
      <c r="F189" s="12" t="s">
        <v>132</v>
      </c>
      <c r="G189" s="12" t="s">
        <v>471</v>
      </c>
      <c r="H189" s="12" t="s">
        <v>259</v>
      </c>
      <c r="I189" s="12" t="s">
        <v>164</v>
      </c>
      <c r="J189" s="12" t="s">
        <v>165</v>
      </c>
      <c r="K189" s="12" t="s">
        <v>16</v>
      </c>
      <c r="L189" s="12" t="s">
        <v>87</v>
      </c>
      <c r="M189" s="11" t="s">
        <v>88</v>
      </c>
    </row>
    <row r="190" customFormat="false" ht="28.35" hidden="false" customHeight="false" outlineLevel="0" collapsed="false">
      <c r="A190" s="11" t="s">
        <v>472</v>
      </c>
      <c r="B190" s="12" t="s">
        <v>46</v>
      </c>
      <c r="C190" s="12" t="s">
        <v>45</v>
      </c>
      <c r="D190" s="12" t="n">
        <v>109</v>
      </c>
      <c r="E190" s="12" t="s">
        <v>467</v>
      </c>
      <c r="F190" s="12" t="s">
        <v>132</v>
      </c>
      <c r="G190" s="12" t="s">
        <v>473</v>
      </c>
      <c r="H190" s="12" t="s">
        <v>259</v>
      </c>
      <c r="I190" s="12" t="s">
        <v>164</v>
      </c>
      <c r="J190" s="12" t="s">
        <v>165</v>
      </c>
      <c r="K190" s="12" t="s">
        <v>16</v>
      </c>
      <c r="L190" s="12" t="s">
        <v>87</v>
      </c>
      <c r="M190" s="11" t="s">
        <v>88</v>
      </c>
    </row>
    <row r="191" customFormat="false" ht="28.35" hidden="false" customHeight="false" outlineLevel="0" collapsed="false">
      <c r="A191" s="11" t="s">
        <v>474</v>
      </c>
      <c r="B191" s="12" t="s">
        <v>46</v>
      </c>
      <c r="C191" s="12" t="s">
        <v>45</v>
      </c>
      <c r="D191" s="12" t="n">
        <v>110</v>
      </c>
      <c r="E191" s="12" t="s">
        <v>467</v>
      </c>
      <c r="F191" s="12" t="s">
        <v>132</v>
      </c>
      <c r="G191" s="12" t="s">
        <v>475</v>
      </c>
      <c r="H191" s="12" t="s">
        <v>259</v>
      </c>
      <c r="I191" s="12" t="s">
        <v>164</v>
      </c>
      <c r="J191" s="12" t="s">
        <v>165</v>
      </c>
      <c r="K191" s="12" t="s">
        <v>16</v>
      </c>
      <c r="L191" s="12" t="s">
        <v>87</v>
      </c>
      <c r="M191" s="11" t="s">
        <v>88</v>
      </c>
    </row>
    <row r="192" customFormat="false" ht="28.35" hidden="false" customHeight="false" outlineLevel="0" collapsed="false">
      <c r="A192" s="11" t="s">
        <v>476</v>
      </c>
      <c r="B192" s="12" t="s">
        <v>46</v>
      </c>
      <c r="C192" s="12" t="s">
        <v>45</v>
      </c>
      <c r="D192" s="12" t="n">
        <v>111</v>
      </c>
      <c r="E192" s="12" t="s">
        <v>477</v>
      </c>
      <c r="F192" s="12" t="s">
        <v>82</v>
      </c>
      <c r="G192" s="12" t="s">
        <v>477</v>
      </c>
      <c r="H192" s="12" t="s">
        <v>259</v>
      </c>
      <c r="I192" s="12" t="s">
        <v>478</v>
      </c>
      <c r="J192" s="12" t="s">
        <v>479</v>
      </c>
      <c r="K192" s="12" t="s">
        <v>28</v>
      </c>
      <c r="L192" s="12" t="s">
        <v>96</v>
      </c>
      <c r="M192" s="11" t="s">
        <v>88</v>
      </c>
    </row>
    <row r="193" customFormat="false" ht="28.35" hidden="false" customHeight="false" outlineLevel="0" collapsed="false">
      <c r="A193" s="11" t="s">
        <v>480</v>
      </c>
      <c r="B193" s="12" t="s">
        <v>46</v>
      </c>
      <c r="C193" s="12" t="s">
        <v>45</v>
      </c>
      <c r="D193" s="12" t="n">
        <v>112</v>
      </c>
      <c r="E193" s="12" t="s">
        <v>477</v>
      </c>
      <c r="F193" s="12" t="s">
        <v>132</v>
      </c>
      <c r="G193" s="12" t="s">
        <v>481</v>
      </c>
      <c r="H193" s="12" t="s">
        <v>259</v>
      </c>
      <c r="I193" s="12" t="s">
        <v>478</v>
      </c>
      <c r="J193" s="12" t="s">
        <v>479</v>
      </c>
      <c r="K193" s="12" t="s">
        <v>28</v>
      </c>
      <c r="L193" s="12" t="s">
        <v>96</v>
      </c>
      <c r="M193" s="11" t="s">
        <v>88</v>
      </c>
    </row>
    <row r="194" customFormat="false" ht="41.75" hidden="false" customHeight="false" outlineLevel="0" collapsed="false">
      <c r="A194" s="11" t="s">
        <v>482</v>
      </c>
      <c r="B194" s="12" t="s">
        <v>46</v>
      </c>
      <c r="C194" s="12" t="s">
        <v>45</v>
      </c>
      <c r="D194" s="12" t="n">
        <v>113</v>
      </c>
      <c r="E194" s="12" t="s">
        <v>477</v>
      </c>
      <c r="F194" s="12" t="s">
        <v>132</v>
      </c>
      <c r="G194" s="12" t="s">
        <v>483</v>
      </c>
      <c r="H194" s="12" t="s">
        <v>259</v>
      </c>
      <c r="I194" s="12" t="s">
        <v>478</v>
      </c>
      <c r="J194" s="12" t="s">
        <v>479</v>
      </c>
      <c r="K194" s="12" t="s">
        <v>28</v>
      </c>
      <c r="L194" s="12" t="s">
        <v>96</v>
      </c>
      <c r="M194" s="11" t="s">
        <v>88</v>
      </c>
    </row>
    <row r="195" customFormat="false" ht="41.75" hidden="false" customHeight="false" outlineLevel="0" collapsed="false">
      <c r="A195" s="11" t="s">
        <v>484</v>
      </c>
      <c r="B195" s="12" t="s">
        <v>46</v>
      </c>
      <c r="C195" s="12" t="s">
        <v>45</v>
      </c>
      <c r="D195" s="12" t="n">
        <v>114</v>
      </c>
      <c r="E195" s="12" t="s">
        <v>477</v>
      </c>
      <c r="F195" s="12" t="s">
        <v>132</v>
      </c>
      <c r="G195" s="12" t="s">
        <v>485</v>
      </c>
      <c r="H195" s="12" t="s">
        <v>259</v>
      </c>
      <c r="I195" s="12" t="s">
        <v>478</v>
      </c>
      <c r="J195" s="12" t="s">
        <v>479</v>
      </c>
      <c r="K195" s="12" t="s">
        <v>28</v>
      </c>
      <c r="L195" s="12" t="s">
        <v>96</v>
      </c>
      <c r="M195" s="11" t="s">
        <v>88</v>
      </c>
    </row>
    <row r="196" customFormat="false" ht="41.75" hidden="false" customHeight="false" outlineLevel="0" collapsed="false">
      <c r="A196" s="11" t="s">
        <v>486</v>
      </c>
      <c r="B196" s="12" t="s">
        <v>46</v>
      </c>
      <c r="C196" s="12" t="s">
        <v>45</v>
      </c>
      <c r="D196" s="12" t="n">
        <v>115</v>
      </c>
      <c r="E196" s="12" t="s">
        <v>477</v>
      </c>
      <c r="F196" s="12" t="s">
        <v>132</v>
      </c>
      <c r="G196" s="12" t="s">
        <v>487</v>
      </c>
      <c r="H196" s="12" t="s">
        <v>259</v>
      </c>
      <c r="I196" s="12" t="s">
        <v>478</v>
      </c>
      <c r="J196" s="12" t="s">
        <v>479</v>
      </c>
      <c r="K196" s="12" t="s">
        <v>28</v>
      </c>
      <c r="L196" s="12" t="s">
        <v>96</v>
      </c>
      <c r="M196" s="11" t="s">
        <v>88</v>
      </c>
    </row>
    <row r="197" customFormat="false" ht="41.75" hidden="false" customHeight="false" outlineLevel="0" collapsed="false">
      <c r="A197" s="11" t="s">
        <v>488</v>
      </c>
      <c r="B197" s="12" t="s">
        <v>46</v>
      </c>
      <c r="C197" s="12" t="s">
        <v>45</v>
      </c>
      <c r="D197" s="12" t="n">
        <v>116</v>
      </c>
      <c r="E197" s="12" t="s">
        <v>477</v>
      </c>
      <c r="F197" s="12" t="s">
        <v>132</v>
      </c>
      <c r="G197" s="12" t="s">
        <v>489</v>
      </c>
      <c r="H197" s="12" t="s">
        <v>259</v>
      </c>
      <c r="I197" s="12" t="s">
        <v>478</v>
      </c>
      <c r="J197" s="12" t="s">
        <v>479</v>
      </c>
      <c r="K197" s="12" t="s">
        <v>28</v>
      </c>
      <c r="L197" s="12" t="s">
        <v>96</v>
      </c>
      <c r="M197" s="11" t="s">
        <v>88</v>
      </c>
    </row>
    <row r="198" customFormat="false" ht="28.35" hidden="false" customHeight="false" outlineLevel="0" collapsed="false">
      <c r="A198" s="11" t="s">
        <v>490</v>
      </c>
      <c r="B198" s="12" t="s">
        <v>46</v>
      </c>
      <c r="C198" s="12" t="s">
        <v>45</v>
      </c>
      <c r="D198" s="12" t="n">
        <v>117</v>
      </c>
      <c r="E198" s="12" t="s">
        <v>477</v>
      </c>
      <c r="F198" s="12" t="s">
        <v>98</v>
      </c>
      <c r="G198" s="12" t="s">
        <v>491</v>
      </c>
      <c r="H198" s="12" t="s">
        <v>259</v>
      </c>
      <c r="I198" s="12" t="s">
        <v>478</v>
      </c>
      <c r="J198" s="12" t="s">
        <v>479</v>
      </c>
      <c r="K198" s="12" t="s">
        <v>28</v>
      </c>
      <c r="L198" s="12" t="s">
        <v>96</v>
      </c>
      <c r="M198" s="11" t="s">
        <v>88</v>
      </c>
    </row>
    <row r="199" customFormat="false" ht="28.35" hidden="false" customHeight="false" outlineLevel="0" collapsed="false">
      <c r="A199" s="11" t="s">
        <v>492</v>
      </c>
      <c r="B199" s="12" t="s">
        <v>46</v>
      </c>
      <c r="C199" s="12" t="s">
        <v>45</v>
      </c>
      <c r="D199" s="12" t="n">
        <v>118</v>
      </c>
      <c r="E199" s="12" t="s">
        <v>477</v>
      </c>
      <c r="F199" s="12" t="s">
        <v>132</v>
      </c>
      <c r="G199" s="12" t="s">
        <v>493</v>
      </c>
      <c r="H199" s="12" t="s">
        <v>259</v>
      </c>
      <c r="I199" s="12" t="s">
        <v>478</v>
      </c>
      <c r="J199" s="12" t="s">
        <v>479</v>
      </c>
      <c r="K199" s="12" t="s">
        <v>28</v>
      </c>
      <c r="L199" s="12" t="s">
        <v>96</v>
      </c>
      <c r="M199" s="11" t="s">
        <v>88</v>
      </c>
    </row>
    <row r="200" customFormat="false" ht="28.35" hidden="false" customHeight="false" outlineLevel="0" collapsed="false">
      <c r="A200" s="11" t="s">
        <v>494</v>
      </c>
      <c r="B200" s="12" t="s">
        <v>46</v>
      </c>
      <c r="C200" s="12" t="s">
        <v>45</v>
      </c>
      <c r="D200" s="12" t="n">
        <v>119</v>
      </c>
      <c r="E200" s="12" t="s">
        <v>477</v>
      </c>
      <c r="F200" s="12" t="s">
        <v>132</v>
      </c>
      <c r="G200" s="12" t="s">
        <v>495</v>
      </c>
      <c r="H200" s="12" t="s">
        <v>259</v>
      </c>
      <c r="I200" s="12" t="s">
        <v>478</v>
      </c>
      <c r="J200" s="12" t="s">
        <v>479</v>
      </c>
      <c r="K200" s="12" t="s">
        <v>28</v>
      </c>
      <c r="L200" s="12" t="s">
        <v>96</v>
      </c>
      <c r="M200" s="11" t="s">
        <v>88</v>
      </c>
    </row>
    <row r="201" customFormat="false" ht="28.35" hidden="false" customHeight="false" outlineLevel="0" collapsed="false">
      <c r="A201" s="11" t="s">
        <v>496</v>
      </c>
      <c r="B201" s="12" t="s">
        <v>46</v>
      </c>
      <c r="C201" s="12" t="s">
        <v>45</v>
      </c>
      <c r="D201" s="12" t="n">
        <v>120</v>
      </c>
      <c r="E201" s="12" t="s">
        <v>477</v>
      </c>
      <c r="F201" s="12" t="s">
        <v>132</v>
      </c>
      <c r="G201" s="12" t="s">
        <v>497</v>
      </c>
      <c r="H201" s="12" t="s">
        <v>259</v>
      </c>
      <c r="I201" s="12" t="s">
        <v>478</v>
      </c>
      <c r="J201" s="12" t="s">
        <v>479</v>
      </c>
      <c r="K201" s="12" t="s">
        <v>28</v>
      </c>
      <c r="L201" s="12" t="s">
        <v>96</v>
      </c>
      <c r="M201" s="11" t="s">
        <v>88</v>
      </c>
    </row>
    <row r="202" customFormat="false" ht="28.35" hidden="false" customHeight="false" outlineLevel="0" collapsed="false">
      <c r="A202" s="11" t="s">
        <v>498</v>
      </c>
      <c r="B202" s="12" t="s">
        <v>46</v>
      </c>
      <c r="C202" s="12" t="s">
        <v>45</v>
      </c>
      <c r="D202" s="12" t="n">
        <v>121</v>
      </c>
      <c r="E202" s="12" t="s">
        <v>477</v>
      </c>
      <c r="F202" s="12" t="s">
        <v>132</v>
      </c>
      <c r="G202" s="12" t="s">
        <v>499</v>
      </c>
      <c r="H202" s="12" t="s">
        <v>259</v>
      </c>
      <c r="I202" s="12" t="s">
        <v>478</v>
      </c>
      <c r="J202" s="12" t="s">
        <v>479</v>
      </c>
      <c r="K202" s="12" t="s">
        <v>28</v>
      </c>
      <c r="L202" s="12" t="s">
        <v>96</v>
      </c>
      <c r="M202" s="11" t="s">
        <v>88</v>
      </c>
    </row>
    <row r="203" customFormat="false" ht="28.35" hidden="false" customHeight="false" outlineLevel="0" collapsed="false">
      <c r="A203" s="11" t="s">
        <v>500</v>
      </c>
      <c r="B203" s="12" t="s">
        <v>46</v>
      </c>
      <c r="C203" s="12" t="s">
        <v>45</v>
      </c>
      <c r="D203" s="12" t="n">
        <v>122</v>
      </c>
      <c r="E203" s="12" t="s">
        <v>477</v>
      </c>
      <c r="F203" s="12" t="s">
        <v>132</v>
      </c>
      <c r="G203" s="12" t="s">
        <v>501</v>
      </c>
      <c r="H203" s="12" t="s">
        <v>259</v>
      </c>
      <c r="I203" s="12" t="s">
        <v>478</v>
      </c>
      <c r="J203" s="12" t="s">
        <v>479</v>
      </c>
      <c r="K203" s="12" t="s">
        <v>28</v>
      </c>
      <c r="L203" s="12" t="s">
        <v>96</v>
      </c>
      <c r="M203" s="11" t="s">
        <v>88</v>
      </c>
    </row>
    <row r="204" customFormat="false" ht="28.35" hidden="false" customHeight="false" outlineLevel="0" collapsed="false">
      <c r="A204" s="11" t="s">
        <v>502</v>
      </c>
      <c r="B204" s="12" t="s">
        <v>46</v>
      </c>
      <c r="C204" s="12" t="s">
        <v>45</v>
      </c>
      <c r="D204" s="12" t="n">
        <v>123</v>
      </c>
      <c r="E204" s="12" t="s">
        <v>477</v>
      </c>
      <c r="F204" s="12" t="s">
        <v>132</v>
      </c>
      <c r="G204" s="12" t="s">
        <v>503</v>
      </c>
      <c r="H204" s="12" t="s">
        <v>259</v>
      </c>
      <c r="I204" s="12" t="s">
        <v>478</v>
      </c>
      <c r="J204" s="12" t="s">
        <v>479</v>
      </c>
      <c r="K204" s="12" t="s">
        <v>28</v>
      </c>
      <c r="L204" s="12" t="s">
        <v>96</v>
      </c>
      <c r="M204" s="11" t="s">
        <v>88</v>
      </c>
    </row>
    <row r="205" customFormat="false" ht="28.35" hidden="false" customHeight="false" outlineLevel="0" collapsed="false">
      <c r="A205" s="11" t="s">
        <v>504</v>
      </c>
      <c r="B205" s="12" t="s">
        <v>46</v>
      </c>
      <c r="C205" s="12" t="s">
        <v>45</v>
      </c>
      <c r="D205" s="12" t="n">
        <v>124</v>
      </c>
      <c r="E205" s="12" t="s">
        <v>477</v>
      </c>
      <c r="F205" s="12" t="s">
        <v>132</v>
      </c>
      <c r="G205" s="12" t="s">
        <v>505</v>
      </c>
      <c r="H205" s="12" t="s">
        <v>259</v>
      </c>
      <c r="I205" s="12" t="s">
        <v>478</v>
      </c>
      <c r="J205" s="12" t="s">
        <v>479</v>
      </c>
      <c r="K205" s="12" t="s">
        <v>28</v>
      </c>
      <c r="L205" s="12" t="s">
        <v>96</v>
      </c>
      <c r="M205" s="11" t="s">
        <v>88</v>
      </c>
    </row>
    <row r="206" customFormat="false" ht="28.35" hidden="false" customHeight="false" outlineLevel="0" collapsed="false">
      <c r="A206" s="11" t="s">
        <v>506</v>
      </c>
      <c r="B206" s="12" t="s">
        <v>48</v>
      </c>
      <c r="C206" s="12" t="s">
        <v>47</v>
      </c>
      <c r="D206" s="12" t="n">
        <v>1</v>
      </c>
      <c r="E206" s="12" t="s">
        <v>507</v>
      </c>
      <c r="F206" s="12" t="s">
        <v>82</v>
      </c>
      <c r="G206" s="12" t="s">
        <v>507</v>
      </c>
      <c r="H206" s="12" t="s">
        <v>508</v>
      </c>
      <c r="I206" s="12" t="s">
        <v>158</v>
      </c>
      <c r="J206" s="12" t="s">
        <v>159</v>
      </c>
      <c r="K206" s="12" t="s">
        <v>19</v>
      </c>
      <c r="L206" s="12" t="s">
        <v>87</v>
      </c>
      <c r="M206" s="11" t="s">
        <v>88</v>
      </c>
    </row>
    <row r="207" customFormat="false" ht="28.35" hidden="false" customHeight="false" outlineLevel="0" collapsed="false">
      <c r="A207" s="11" t="s">
        <v>509</v>
      </c>
      <c r="B207" s="12" t="s">
        <v>48</v>
      </c>
      <c r="C207" s="12" t="s">
        <v>47</v>
      </c>
      <c r="D207" s="12" t="n">
        <v>2</v>
      </c>
      <c r="E207" s="12" t="s">
        <v>510</v>
      </c>
      <c r="F207" s="12" t="s">
        <v>82</v>
      </c>
      <c r="G207" s="12" t="s">
        <v>510</v>
      </c>
      <c r="H207" s="12" t="s">
        <v>508</v>
      </c>
      <c r="I207" s="12" t="s">
        <v>158</v>
      </c>
      <c r="J207" s="12" t="s">
        <v>159</v>
      </c>
      <c r="K207" s="12" t="s">
        <v>19</v>
      </c>
      <c r="L207" s="12" t="s">
        <v>87</v>
      </c>
      <c r="M207" s="11" t="s">
        <v>88</v>
      </c>
    </row>
    <row r="208" customFormat="false" ht="28.35" hidden="false" customHeight="false" outlineLevel="0" collapsed="false">
      <c r="A208" s="11" t="s">
        <v>511</v>
      </c>
      <c r="B208" s="12" t="s">
        <v>48</v>
      </c>
      <c r="C208" s="12" t="s">
        <v>47</v>
      </c>
      <c r="D208" s="12" t="n">
        <v>3</v>
      </c>
      <c r="E208" s="12" t="s">
        <v>92</v>
      </c>
      <c r="F208" s="12" t="s">
        <v>82</v>
      </c>
      <c r="G208" s="12" t="s">
        <v>92</v>
      </c>
      <c r="H208" s="12" t="s">
        <v>508</v>
      </c>
      <c r="I208" s="12" t="s">
        <v>93</v>
      </c>
      <c r="J208" s="12" t="s">
        <v>94</v>
      </c>
      <c r="K208" s="12" t="s">
        <v>95</v>
      </c>
      <c r="L208" s="12" t="s">
        <v>96</v>
      </c>
      <c r="M208" s="11" t="s">
        <v>88</v>
      </c>
    </row>
    <row r="209" customFormat="false" ht="28.35" hidden="false" customHeight="false" outlineLevel="0" collapsed="false">
      <c r="A209" s="11" t="s">
        <v>512</v>
      </c>
      <c r="B209" s="12" t="s">
        <v>48</v>
      </c>
      <c r="C209" s="12" t="s">
        <v>47</v>
      </c>
      <c r="D209" s="12" t="n">
        <v>4</v>
      </c>
      <c r="E209" s="12" t="s">
        <v>92</v>
      </c>
      <c r="F209" s="12" t="s">
        <v>98</v>
      </c>
      <c r="G209" s="12" t="s">
        <v>99</v>
      </c>
      <c r="H209" s="12" t="s">
        <v>508</v>
      </c>
      <c r="I209" s="12" t="s">
        <v>93</v>
      </c>
      <c r="J209" s="12" t="s">
        <v>94</v>
      </c>
      <c r="K209" s="12" t="s">
        <v>95</v>
      </c>
      <c r="L209" s="12" t="s">
        <v>96</v>
      </c>
      <c r="M209" s="11" t="s">
        <v>88</v>
      </c>
    </row>
    <row r="210" customFormat="false" ht="28.35" hidden="false" customHeight="false" outlineLevel="0" collapsed="false">
      <c r="A210" s="11" t="s">
        <v>513</v>
      </c>
      <c r="B210" s="12" t="s">
        <v>48</v>
      </c>
      <c r="C210" s="12" t="s">
        <v>47</v>
      </c>
      <c r="D210" s="12" t="n">
        <v>5</v>
      </c>
      <c r="E210" s="12" t="s">
        <v>92</v>
      </c>
      <c r="F210" s="12" t="s">
        <v>98</v>
      </c>
      <c r="G210" s="12" t="s">
        <v>514</v>
      </c>
      <c r="H210" s="12" t="s">
        <v>508</v>
      </c>
      <c r="I210" s="12" t="s">
        <v>93</v>
      </c>
      <c r="J210" s="12" t="s">
        <v>94</v>
      </c>
      <c r="K210" s="12" t="s">
        <v>95</v>
      </c>
      <c r="L210" s="12" t="s">
        <v>96</v>
      </c>
      <c r="M210" s="11" t="s">
        <v>88</v>
      </c>
    </row>
    <row r="211" customFormat="false" ht="28.35" hidden="false" customHeight="false" outlineLevel="0" collapsed="false">
      <c r="A211" s="11" t="s">
        <v>515</v>
      </c>
      <c r="B211" s="12" t="s">
        <v>48</v>
      </c>
      <c r="C211" s="12" t="s">
        <v>47</v>
      </c>
      <c r="D211" s="12" t="n">
        <v>6</v>
      </c>
      <c r="E211" s="12" t="s">
        <v>92</v>
      </c>
      <c r="F211" s="12" t="s">
        <v>98</v>
      </c>
      <c r="G211" s="12" t="s">
        <v>516</v>
      </c>
      <c r="H211" s="12" t="s">
        <v>508</v>
      </c>
      <c r="I211" s="12" t="s">
        <v>93</v>
      </c>
      <c r="J211" s="12" t="s">
        <v>94</v>
      </c>
      <c r="K211" s="12" t="s">
        <v>95</v>
      </c>
      <c r="L211" s="12" t="s">
        <v>96</v>
      </c>
      <c r="M211" s="11" t="s">
        <v>88</v>
      </c>
    </row>
    <row r="212" customFormat="false" ht="28.35" hidden="false" customHeight="false" outlineLevel="0" collapsed="false">
      <c r="A212" s="11" t="s">
        <v>517</v>
      </c>
      <c r="B212" s="12" t="s">
        <v>48</v>
      </c>
      <c r="C212" s="12" t="s">
        <v>47</v>
      </c>
      <c r="D212" s="12" t="n">
        <v>7</v>
      </c>
      <c r="E212" s="12" t="s">
        <v>92</v>
      </c>
      <c r="F212" s="12" t="s">
        <v>98</v>
      </c>
      <c r="G212" s="12" t="s">
        <v>518</v>
      </c>
      <c r="H212" s="12" t="s">
        <v>508</v>
      </c>
      <c r="I212" s="12" t="s">
        <v>93</v>
      </c>
      <c r="J212" s="12" t="s">
        <v>94</v>
      </c>
      <c r="K212" s="12" t="s">
        <v>95</v>
      </c>
      <c r="L212" s="12" t="s">
        <v>96</v>
      </c>
      <c r="M212" s="11" t="s">
        <v>88</v>
      </c>
    </row>
    <row r="213" customFormat="false" ht="28.35" hidden="false" customHeight="false" outlineLevel="0" collapsed="false">
      <c r="A213" s="11" t="s">
        <v>519</v>
      </c>
      <c r="B213" s="12" t="s">
        <v>48</v>
      </c>
      <c r="C213" s="12" t="s">
        <v>47</v>
      </c>
      <c r="D213" s="12" t="n">
        <v>8</v>
      </c>
      <c r="E213" s="12" t="s">
        <v>92</v>
      </c>
      <c r="F213" s="12" t="s">
        <v>98</v>
      </c>
      <c r="G213" s="12" t="s">
        <v>520</v>
      </c>
      <c r="H213" s="12" t="s">
        <v>508</v>
      </c>
      <c r="I213" s="12" t="s">
        <v>93</v>
      </c>
      <c r="J213" s="12" t="s">
        <v>94</v>
      </c>
      <c r="K213" s="12" t="s">
        <v>95</v>
      </c>
      <c r="L213" s="12" t="s">
        <v>96</v>
      </c>
      <c r="M213" s="11" t="s">
        <v>88</v>
      </c>
    </row>
    <row r="214" customFormat="false" ht="28.35" hidden="false" customHeight="false" outlineLevel="0" collapsed="false">
      <c r="A214" s="11" t="s">
        <v>521</v>
      </c>
      <c r="B214" s="12" t="s">
        <v>48</v>
      </c>
      <c r="C214" s="12" t="s">
        <v>47</v>
      </c>
      <c r="D214" s="12" t="n">
        <v>9</v>
      </c>
      <c r="E214" s="12" t="s">
        <v>92</v>
      </c>
      <c r="F214" s="12" t="s">
        <v>98</v>
      </c>
      <c r="G214" s="12" t="s">
        <v>272</v>
      </c>
      <c r="H214" s="12" t="s">
        <v>508</v>
      </c>
      <c r="I214" s="12" t="s">
        <v>93</v>
      </c>
      <c r="J214" s="12" t="s">
        <v>94</v>
      </c>
      <c r="K214" s="12" t="s">
        <v>95</v>
      </c>
      <c r="L214" s="12" t="s">
        <v>96</v>
      </c>
      <c r="M214" s="11" t="s">
        <v>88</v>
      </c>
    </row>
    <row r="215" customFormat="false" ht="55.2" hidden="false" customHeight="false" outlineLevel="0" collapsed="false">
      <c r="A215" s="11" t="s">
        <v>522</v>
      </c>
      <c r="B215" s="12" t="s">
        <v>48</v>
      </c>
      <c r="C215" s="12" t="s">
        <v>47</v>
      </c>
      <c r="D215" s="12" t="n">
        <v>10</v>
      </c>
      <c r="E215" s="12" t="s">
        <v>92</v>
      </c>
      <c r="F215" s="12" t="s">
        <v>98</v>
      </c>
      <c r="G215" s="12" t="s">
        <v>523</v>
      </c>
      <c r="H215" s="12" t="s">
        <v>508</v>
      </c>
      <c r="I215" s="12" t="s">
        <v>93</v>
      </c>
      <c r="J215" s="12" t="s">
        <v>94</v>
      </c>
      <c r="K215" s="12" t="s">
        <v>95</v>
      </c>
      <c r="L215" s="12" t="s">
        <v>96</v>
      </c>
      <c r="M215" s="11" t="s">
        <v>88</v>
      </c>
    </row>
    <row r="216" customFormat="false" ht="28.35" hidden="false" customHeight="false" outlineLevel="0" collapsed="false">
      <c r="A216" s="11" t="s">
        <v>524</v>
      </c>
      <c r="B216" s="12" t="s">
        <v>48</v>
      </c>
      <c r="C216" s="12" t="s">
        <v>47</v>
      </c>
      <c r="D216" s="12" t="n">
        <v>11</v>
      </c>
      <c r="E216" s="12" t="s">
        <v>525</v>
      </c>
      <c r="F216" s="12" t="s">
        <v>82</v>
      </c>
      <c r="G216" s="12" t="s">
        <v>525</v>
      </c>
      <c r="H216" s="12" t="s">
        <v>508</v>
      </c>
      <c r="I216" s="12" t="s">
        <v>93</v>
      </c>
      <c r="J216" s="12" t="s">
        <v>94</v>
      </c>
      <c r="K216" s="12" t="s">
        <v>95</v>
      </c>
      <c r="L216" s="12" t="s">
        <v>96</v>
      </c>
      <c r="M216" s="11" t="s">
        <v>88</v>
      </c>
    </row>
    <row r="217" customFormat="false" ht="28.35" hidden="false" customHeight="false" outlineLevel="0" collapsed="false">
      <c r="A217" s="11" t="s">
        <v>526</v>
      </c>
      <c r="B217" s="12" t="s">
        <v>48</v>
      </c>
      <c r="C217" s="12" t="s">
        <v>47</v>
      </c>
      <c r="D217" s="12" t="n">
        <v>12</v>
      </c>
      <c r="E217" s="12" t="s">
        <v>525</v>
      </c>
      <c r="F217" s="12" t="s">
        <v>98</v>
      </c>
      <c r="G217" s="12" t="s">
        <v>115</v>
      </c>
      <c r="H217" s="12" t="s">
        <v>508</v>
      </c>
      <c r="I217" s="12" t="s">
        <v>93</v>
      </c>
      <c r="J217" s="12" t="s">
        <v>94</v>
      </c>
      <c r="K217" s="12" t="s">
        <v>95</v>
      </c>
      <c r="L217" s="12" t="s">
        <v>96</v>
      </c>
      <c r="M217" s="11" t="s">
        <v>88</v>
      </c>
    </row>
    <row r="218" customFormat="false" ht="28.35" hidden="false" customHeight="false" outlineLevel="0" collapsed="false">
      <c r="A218" s="11" t="s">
        <v>527</v>
      </c>
      <c r="B218" s="12" t="s">
        <v>48</v>
      </c>
      <c r="C218" s="12" t="s">
        <v>47</v>
      </c>
      <c r="D218" s="12" t="n">
        <v>13</v>
      </c>
      <c r="E218" s="12" t="s">
        <v>525</v>
      </c>
      <c r="F218" s="12" t="s">
        <v>98</v>
      </c>
      <c r="G218" s="12" t="s">
        <v>117</v>
      </c>
      <c r="H218" s="12" t="s">
        <v>508</v>
      </c>
      <c r="I218" s="12" t="s">
        <v>93</v>
      </c>
      <c r="J218" s="12" t="s">
        <v>94</v>
      </c>
      <c r="K218" s="12" t="s">
        <v>95</v>
      </c>
      <c r="L218" s="12" t="s">
        <v>96</v>
      </c>
      <c r="M218" s="11" t="s">
        <v>88</v>
      </c>
    </row>
    <row r="219" customFormat="false" ht="28.35" hidden="false" customHeight="false" outlineLevel="0" collapsed="false">
      <c r="A219" s="11" t="s">
        <v>528</v>
      </c>
      <c r="B219" s="12" t="s">
        <v>48</v>
      </c>
      <c r="C219" s="12" t="s">
        <v>47</v>
      </c>
      <c r="D219" s="12" t="n">
        <v>14</v>
      </c>
      <c r="E219" s="12" t="s">
        <v>525</v>
      </c>
      <c r="F219" s="12" t="s">
        <v>98</v>
      </c>
      <c r="G219" s="12" t="s">
        <v>529</v>
      </c>
      <c r="H219" s="12" t="s">
        <v>508</v>
      </c>
      <c r="I219" s="12" t="s">
        <v>93</v>
      </c>
      <c r="J219" s="12" t="s">
        <v>94</v>
      </c>
      <c r="K219" s="12" t="s">
        <v>95</v>
      </c>
      <c r="L219" s="12" t="s">
        <v>96</v>
      </c>
      <c r="M219" s="11" t="s">
        <v>88</v>
      </c>
    </row>
    <row r="220" customFormat="false" ht="28.35" hidden="false" customHeight="false" outlineLevel="0" collapsed="false">
      <c r="A220" s="11" t="s">
        <v>530</v>
      </c>
      <c r="B220" s="12" t="s">
        <v>48</v>
      </c>
      <c r="C220" s="12" t="s">
        <v>47</v>
      </c>
      <c r="D220" s="12" t="n">
        <v>15</v>
      </c>
      <c r="E220" s="12" t="s">
        <v>525</v>
      </c>
      <c r="F220" s="12" t="s">
        <v>98</v>
      </c>
      <c r="G220" s="12" t="s">
        <v>531</v>
      </c>
      <c r="H220" s="12" t="s">
        <v>508</v>
      </c>
      <c r="I220" s="12" t="s">
        <v>93</v>
      </c>
      <c r="J220" s="12" t="s">
        <v>94</v>
      </c>
      <c r="K220" s="12" t="s">
        <v>95</v>
      </c>
      <c r="L220" s="12" t="s">
        <v>96</v>
      </c>
      <c r="M220" s="11" t="s">
        <v>88</v>
      </c>
    </row>
    <row r="221" customFormat="false" ht="28.35" hidden="false" customHeight="false" outlineLevel="0" collapsed="false">
      <c r="A221" s="11" t="s">
        <v>532</v>
      </c>
      <c r="B221" s="12" t="s">
        <v>48</v>
      </c>
      <c r="C221" s="12" t="s">
        <v>47</v>
      </c>
      <c r="D221" s="12" t="n">
        <v>16</v>
      </c>
      <c r="E221" s="12" t="s">
        <v>525</v>
      </c>
      <c r="F221" s="12" t="s">
        <v>98</v>
      </c>
      <c r="G221" s="12" t="s">
        <v>533</v>
      </c>
      <c r="H221" s="12" t="s">
        <v>508</v>
      </c>
      <c r="I221" s="12" t="s">
        <v>93</v>
      </c>
      <c r="J221" s="12" t="s">
        <v>94</v>
      </c>
      <c r="K221" s="12" t="s">
        <v>95</v>
      </c>
      <c r="L221" s="12" t="s">
        <v>96</v>
      </c>
      <c r="M221" s="11" t="s">
        <v>88</v>
      </c>
    </row>
    <row r="222" customFormat="false" ht="28.35" hidden="false" customHeight="false" outlineLevel="0" collapsed="false">
      <c r="A222" s="11" t="s">
        <v>534</v>
      </c>
      <c r="B222" s="12" t="s">
        <v>48</v>
      </c>
      <c r="C222" s="12" t="s">
        <v>47</v>
      </c>
      <c r="D222" s="12" t="n">
        <v>17</v>
      </c>
      <c r="E222" s="12" t="s">
        <v>525</v>
      </c>
      <c r="F222" s="12" t="s">
        <v>98</v>
      </c>
      <c r="G222" s="12" t="s">
        <v>535</v>
      </c>
      <c r="H222" s="12" t="s">
        <v>508</v>
      </c>
      <c r="I222" s="12" t="s">
        <v>93</v>
      </c>
      <c r="J222" s="12" t="s">
        <v>94</v>
      </c>
      <c r="K222" s="12" t="s">
        <v>95</v>
      </c>
      <c r="L222" s="12" t="s">
        <v>96</v>
      </c>
      <c r="M222" s="11" t="s">
        <v>88</v>
      </c>
    </row>
    <row r="223" customFormat="false" ht="28.35" hidden="false" customHeight="false" outlineLevel="0" collapsed="false">
      <c r="A223" s="11" t="s">
        <v>536</v>
      </c>
      <c r="B223" s="12" t="s">
        <v>48</v>
      </c>
      <c r="C223" s="12" t="s">
        <v>47</v>
      </c>
      <c r="D223" s="12" t="n">
        <v>18</v>
      </c>
      <c r="E223" s="12" t="s">
        <v>525</v>
      </c>
      <c r="F223" s="12" t="s">
        <v>98</v>
      </c>
      <c r="G223" s="12" t="s">
        <v>537</v>
      </c>
      <c r="H223" s="12" t="s">
        <v>508</v>
      </c>
      <c r="I223" s="12" t="s">
        <v>93</v>
      </c>
      <c r="J223" s="12" t="s">
        <v>94</v>
      </c>
      <c r="K223" s="12" t="s">
        <v>95</v>
      </c>
      <c r="L223" s="12" t="s">
        <v>96</v>
      </c>
      <c r="M223" s="11" t="s">
        <v>88</v>
      </c>
    </row>
    <row r="224" customFormat="false" ht="28.35" hidden="false" customHeight="false" outlineLevel="0" collapsed="false">
      <c r="A224" s="11" t="s">
        <v>538</v>
      </c>
      <c r="B224" s="12" t="s">
        <v>48</v>
      </c>
      <c r="C224" s="12" t="s">
        <v>47</v>
      </c>
      <c r="D224" s="12" t="n">
        <v>19</v>
      </c>
      <c r="E224" s="12" t="s">
        <v>525</v>
      </c>
      <c r="F224" s="12" t="s">
        <v>98</v>
      </c>
      <c r="G224" s="12" t="s">
        <v>539</v>
      </c>
      <c r="H224" s="12" t="s">
        <v>508</v>
      </c>
      <c r="I224" s="12" t="s">
        <v>93</v>
      </c>
      <c r="J224" s="12" t="s">
        <v>94</v>
      </c>
      <c r="K224" s="12" t="s">
        <v>95</v>
      </c>
      <c r="L224" s="12" t="s">
        <v>96</v>
      </c>
      <c r="M224" s="11" t="s">
        <v>88</v>
      </c>
    </row>
    <row r="225" customFormat="false" ht="28.35" hidden="false" customHeight="false" outlineLevel="0" collapsed="false">
      <c r="A225" s="11" t="s">
        <v>540</v>
      </c>
      <c r="B225" s="12" t="s">
        <v>48</v>
      </c>
      <c r="C225" s="12" t="s">
        <v>47</v>
      </c>
      <c r="D225" s="12" t="n">
        <v>20</v>
      </c>
      <c r="E225" s="12" t="s">
        <v>525</v>
      </c>
      <c r="F225" s="12" t="s">
        <v>98</v>
      </c>
      <c r="G225" s="12" t="s">
        <v>291</v>
      </c>
      <c r="H225" s="12" t="s">
        <v>508</v>
      </c>
      <c r="I225" s="12" t="s">
        <v>93</v>
      </c>
      <c r="J225" s="12" t="s">
        <v>94</v>
      </c>
      <c r="K225" s="12" t="s">
        <v>95</v>
      </c>
      <c r="L225" s="12" t="s">
        <v>96</v>
      </c>
      <c r="M225" s="11" t="s">
        <v>88</v>
      </c>
    </row>
    <row r="226" customFormat="false" ht="28.35" hidden="false" customHeight="false" outlineLevel="0" collapsed="false">
      <c r="A226" s="11" t="s">
        <v>541</v>
      </c>
      <c r="B226" s="12" t="s">
        <v>48</v>
      </c>
      <c r="C226" s="12" t="s">
        <v>47</v>
      </c>
      <c r="D226" s="12" t="n">
        <v>21</v>
      </c>
      <c r="E226" s="12" t="s">
        <v>525</v>
      </c>
      <c r="F226" s="12" t="s">
        <v>98</v>
      </c>
      <c r="G226" s="12" t="s">
        <v>130</v>
      </c>
      <c r="H226" s="12" t="s">
        <v>508</v>
      </c>
      <c r="I226" s="12" t="s">
        <v>93</v>
      </c>
      <c r="J226" s="12" t="s">
        <v>94</v>
      </c>
      <c r="K226" s="12" t="s">
        <v>95</v>
      </c>
      <c r="L226" s="12" t="s">
        <v>96</v>
      </c>
      <c r="M226" s="11" t="s">
        <v>88</v>
      </c>
    </row>
    <row r="227" customFormat="false" ht="28.35" hidden="false" customHeight="false" outlineLevel="0" collapsed="false">
      <c r="A227" s="11" t="s">
        <v>542</v>
      </c>
      <c r="B227" s="12" t="s">
        <v>48</v>
      </c>
      <c r="C227" s="12" t="s">
        <v>47</v>
      </c>
      <c r="D227" s="12" t="n">
        <v>22</v>
      </c>
      <c r="E227" s="12" t="s">
        <v>525</v>
      </c>
      <c r="F227" s="12" t="s">
        <v>132</v>
      </c>
      <c r="G227" s="12" t="s">
        <v>543</v>
      </c>
      <c r="H227" s="12" t="s">
        <v>508</v>
      </c>
      <c r="I227" s="12" t="s">
        <v>93</v>
      </c>
      <c r="J227" s="12" t="s">
        <v>94</v>
      </c>
      <c r="K227" s="12" t="s">
        <v>95</v>
      </c>
      <c r="L227" s="12" t="s">
        <v>96</v>
      </c>
      <c r="M227" s="11" t="s">
        <v>88</v>
      </c>
    </row>
    <row r="228" customFormat="false" ht="28.35" hidden="false" customHeight="false" outlineLevel="0" collapsed="false">
      <c r="A228" s="11" t="s">
        <v>544</v>
      </c>
      <c r="B228" s="12" t="s">
        <v>48</v>
      </c>
      <c r="C228" s="12" t="s">
        <v>47</v>
      </c>
      <c r="D228" s="12" t="n">
        <v>23</v>
      </c>
      <c r="E228" s="12" t="s">
        <v>525</v>
      </c>
      <c r="F228" s="12" t="s">
        <v>132</v>
      </c>
      <c r="G228" s="12" t="s">
        <v>545</v>
      </c>
      <c r="H228" s="12" t="s">
        <v>508</v>
      </c>
      <c r="I228" s="12" t="s">
        <v>93</v>
      </c>
      <c r="J228" s="12" t="s">
        <v>94</v>
      </c>
      <c r="K228" s="12" t="s">
        <v>95</v>
      </c>
      <c r="L228" s="12" t="s">
        <v>96</v>
      </c>
      <c r="M228" s="11" t="s">
        <v>88</v>
      </c>
    </row>
    <row r="229" customFormat="false" ht="28.35" hidden="false" customHeight="false" outlineLevel="0" collapsed="false">
      <c r="A229" s="11" t="s">
        <v>546</v>
      </c>
      <c r="B229" s="12" t="s">
        <v>48</v>
      </c>
      <c r="C229" s="12" t="s">
        <v>47</v>
      </c>
      <c r="D229" s="12" t="n">
        <v>24</v>
      </c>
      <c r="E229" s="12" t="s">
        <v>525</v>
      </c>
      <c r="F229" s="12" t="s">
        <v>132</v>
      </c>
      <c r="G229" s="12" t="s">
        <v>547</v>
      </c>
      <c r="H229" s="12" t="s">
        <v>508</v>
      </c>
      <c r="I229" s="12" t="s">
        <v>93</v>
      </c>
      <c r="J229" s="12" t="s">
        <v>94</v>
      </c>
      <c r="K229" s="12" t="s">
        <v>95</v>
      </c>
      <c r="L229" s="12" t="s">
        <v>96</v>
      </c>
      <c r="M229" s="11" t="s">
        <v>88</v>
      </c>
    </row>
    <row r="230" customFormat="false" ht="28.35" hidden="false" customHeight="false" outlineLevel="0" collapsed="false">
      <c r="A230" s="11" t="s">
        <v>548</v>
      </c>
      <c r="B230" s="12" t="s">
        <v>48</v>
      </c>
      <c r="C230" s="12" t="s">
        <v>47</v>
      </c>
      <c r="D230" s="12" t="n">
        <v>25</v>
      </c>
      <c r="E230" s="12" t="s">
        <v>525</v>
      </c>
      <c r="F230" s="12" t="s">
        <v>132</v>
      </c>
      <c r="G230" s="12" t="s">
        <v>301</v>
      </c>
      <c r="H230" s="12" t="s">
        <v>508</v>
      </c>
      <c r="I230" s="12" t="s">
        <v>93</v>
      </c>
      <c r="J230" s="12" t="s">
        <v>94</v>
      </c>
      <c r="K230" s="12" t="s">
        <v>95</v>
      </c>
      <c r="L230" s="12" t="s">
        <v>96</v>
      </c>
      <c r="M230" s="11" t="s">
        <v>88</v>
      </c>
    </row>
    <row r="231" customFormat="false" ht="28.35" hidden="false" customHeight="false" outlineLevel="0" collapsed="false">
      <c r="A231" s="11" t="s">
        <v>549</v>
      </c>
      <c r="B231" s="12" t="s">
        <v>48</v>
      </c>
      <c r="C231" s="12" t="s">
        <v>47</v>
      </c>
      <c r="D231" s="12" t="n">
        <v>26</v>
      </c>
      <c r="E231" s="12" t="s">
        <v>525</v>
      </c>
      <c r="F231" s="12" t="s">
        <v>132</v>
      </c>
      <c r="G231" s="12" t="s">
        <v>550</v>
      </c>
      <c r="H231" s="12" t="s">
        <v>508</v>
      </c>
      <c r="I231" s="12" t="s">
        <v>93</v>
      </c>
      <c r="J231" s="12" t="s">
        <v>94</v>
      </c>
      <c r="K231" s="12" t="s">
        <v>95</v>
      </c>
      <c r="L231" s="12" t="s">
        <v>96</v>
      </c>
      <c r="M231" s="11" t="s">
        <v>88</v>
      </c>
    </row>
    <row r="232" customFormat="false" ht="28.35" hidden="false" customHeight="false" outlineLevel="0" collapsed="false">
      <c r="A232" s="11" t="s">
        <v>551</v>
      </c>
      <c r="B232" s="12" t="s">
        <v>48</v>
      </c>
      <c r="C232" s="12" t="s">
        <v>47</v>
      </c>
      <c r="D232" s="12" t="n">
        <v>27</v>
      </c>
      <c r="E232" s="12" t="s">
        <v>525</v>
      </c>
      <c r="F232" s="12" t="s">
        <v>132</v>
      </c>
      <c r="G232" s="12" t="s">
        <v>552</v>
      </c>
      <c r="H232" s="12" t="s">
        <v>508</v>
      </c>
      <c r="I232" s="12" t="s">
        <v>93</v>
      </c>
      <c r="J232" s="12" t="s">
        <v>94</v>
      </c>
      <c r="K232" s="12" t="s">
        <v>95</v>
      </c>
      <c r="L232" s="12" t="s">
        <v>96</v>
      </c>
      <c r="M232" s="11" t="s">
        <v>88</v>
      </c>
    </row>
    <row r="233" customFormat="false" ht="28.35" hidden="false" customHeight="false" outlineLevel="0" collapsed="false">
      <c r="A233" s="11" t="s">
        <v>553</v>
      </c>
      <c r="B233" s="12" t="s">
        <v>48</v>
      </c>
      <c r="C233" s="12" t="s">
        <v>47</v>
      </c>
      <c r="D233" s="12" t="n">
        <v>28</v>
      </c>
      <c r="E233" s="12" t="s">
        <v>525</v>
      </c>
      <c r="F233" s="12" t="s">
        <v>132</v>
      </c>
      <c r="G233" s="12" t="s">
        <v>554</v>
      </c>
      <c r="H233" s="12" t="s">
        <v>508</v>
      </c>
      <c r="I233" s="12" t="s">
        <v>93</v>
      </c>
      <c r="J233" s="12" t="s">
        <v>94</v>
      </c>
      <c r="K233" s="12" t="s">
        <v>95</v>
      </c>
      <c r="L233" s="12" t="s">
        <v>96</v>
      </c>
      <c r="M233" s="11" t="s">
        <v>88</v>
      </c>
    </row>
    <row r="234" customFormat="false" ht="28.35" hidden="false" customHeight="false" outlineLevel="0" collapsed="false">
      <c r="A234" s="11" t="s">
        <v>555</v>
      </c>
      <c r="B234" s="12" t="s">
        <v>48</v>
      </c>
      <c r="C234" s="12" t="s">
        <v>47</v>
      </c>
      <c r="D234" s="12" t="n">
        <v>29</v>
      </c>
      <c r="E234" s="12" t="s">
        <v>525</v>
      </c>
      <c r="F234" s="12" t="s">
        <v>132</v>
      </c>
      <c r="G234" s="12" t="s">
        <v>556</v>
      </c>
      <c r="H234" s="12" t="s">
        <v>508</v>
      </c>
      <c r="I234" s="12" t="s">
        <v>93</v>
      </c>
      <c r="J234" s="12" t="s">
        <v>94</v>
      </c>
      <c r="K234" s="12" t="s">
        <v>95</v>
      </c>
      <c r="L234" s="12" t="s">
        <v>96</v>
      </c>
      <c r="M234" s="11" t="s">
        <v>88</v>
      </c>
    </row>
    <row r="235" customFormat="false" ht="28.35" hidden="false" customHeight="false" outlineLevel="0" collapsed="false">
      <c r="A235" s="11" t="s">
        <v>557</v>
      </c>
      <c r="B235" s="12" t="s">
        <v>48</v>
      </c>
      <c r="C235" s="12" t="s">
        <v>47</v>
      </c>
      <c r="D235" s="12" t="n">
        <v>30</v>
      </c>
      <c r="E235" s="12" t="s">
        <v>525</v>
      </c>
      <c r="F235" s="12" t="s">
        <v>132</v>
      </c>
      <c r="G235" s="12" t="s">
        <v>558</v>
      </c>
      <c r="H235" s="12" t="s">
        <v>508</v>
      </c>
      <c r="I235" s="12" t="s">
        <v>93</v>
      </c>
      <c r="J235" s="12" t="s">
        <v>94</v>
      </c>
      <c r="K235" s="12" t="s">
        <v>95</v>
      </c>
      <c r="L235" s="12" t="s">
        <v>96</v>
      </c>
      <c r="M235" s="11" t="s">
        <v>88</v>
      </c>
    </row>
    <row r="236" customFormat="false" ht="28.35" hidden="false" customHeight="false" outlineLevel="0" collapsed="false">
      <c r="A236" s="11" t="s">
        <v>559</v>
      </c>
      <c r="B236" s="12" t="s">
        <v>48</v>
      </c>
      <c r="C236" s="12" t="s">
        <v>47</v>
      </c>
      <c r="D236" s="12" t="n">
        <v>31</v>
      </c>
      <c r="E236" s="12" t="s">
        <v>525</v>
      </c>
      <c r="F236" s="12" t="s">
        <v>132</v>
      </c>
      <c r="G236" s="12" t="s">
        <v>311</v>
      </c>
      <c r="H236" s="12" t="s">
        <v>508</v>
      </c>
      <c r="I236" s="12" t="s">
        <v>93</v>
      </c>
      <c r="J236" s="12" t="s">
        <v>94</v>
      </c>
      <c r="K236" s="12" t="s">
        <v>95</v>
      </c>
      <c r="L236" s="12" t="s">
        <v>96</v>
      </c>
      <c r="M236" s="11" t="s">
        <v>88</v>
      </c>
    </row>
    <row r="237" customFormat="false" ht="28.35" hidden="false" customHeight="false" outlineLevel="0" collapsed="false">
      <c r="A237" s="11" t="s">
        <v>560</v>
      </c>
      <c r="B237" s="12" t="s">
        <v>48</v>
      </c>
      <c r="C237" s="12" t="s">
        <v>47</v>
      </c>
      <c r="D237" s="12" t="n">
        <v>32</v>
      </c>
      <c r="E237" s="12" t="s">
        <v>525</v>
      </c>
      <c r="F237" s="12" t="s">
        <v>132</v>
      </c>
      <c r="G237" s="12" t="s">
        <v>561</v>
      </c>
      <c r="H237" s="12" t="s">
        <v>508</v>
      </c>
      <c r="I237" s="12" t="s">
        <v>93</v>
      </c>
      <c r="J237" s="12" t="s">
        <v>94</v>
      </c>
      <c r="K237" s="12" t="s">
        <v>95</v>
      </c>
      <c r="L237" s="12" t="s">
        <v>96</v>
      </c>
      <c r="M237" s="11" t="s">
        <v>88</v>
      </c>
    </row>
    <row r="238" customFormat="false" ht="28.35" hidden="false" customHeight="false" outlineLevel="0" collapsed="false">
      <c r="A238" s="11" t="s">
        <v>562</v>
      </c>
      <c r="B238" s="12" t="s">
        <v>48</v>
      </c>
      <c r="C238" s="12" t="s">
        <v>47</v>
      </c>
      <c r="D238" s="12" t="n">
        <v>33</v>
      </c>
      <c r="E238" s="12" t="s">
        <v>525</v>
      </c>
      <c r="F238" s="12" t="s">
        <v>132</v>
      </c>
      <c r="G238" s="12" t="s">
        <v>552</v>
      </c>
      <c r="H238" s="12" t="s">
        <v>508</v>
      </c>
      <c r="I238" s="12" t="s">
        <v>93</v>
      </c>
      <c r="J238" s="12" t="s">
        <v>94</v>
      </c>
      <c r="K238" s="12" t="s">
        <v>95</v>
      </c>
      <c r="L238" s="12" t="s">
        <v>96</v>
      </c>
      <c r="M238" s="11" t="s">
        <v>88</v>
      </c>
    </row>
    <row r="239" customFormat="false" ht="28.35" hidden="false" customHeight="false" outlineLevel="0" collapsed="false">
      <c r="A239" s="11" t="s">
        <v>563</v>
      </c>
      <c r="B239" s="12" t="s">
        <v>48</v>
      </c>
      <c r="C239" s="12" t="s">
        <v>47</v>
      </c>
      <c r="D239" s="12" t="n">
        <v>34</v>
      </c>
      <c r="E239" s="12" t="s">
        <v>525</v>
      </c>
      <c r="F239" s="12" t="s">
        <v>132</v>
      </c>
      <c r="G239" s="12" t="s">
        <v>564</v>
      </c>
      <c r="H239" s="12" t="s">
        <v>508</v>
      </c>
      <c r="I239" s="12" t="s">
        <v>93</v>
      </c>
      <c r="J239" s="12" t="s">
        <v>94</v>
      </c>
      <c r="K239" s="12" t="s">
        <v>95</v>
      </c>
      <c r="L239" s="12" t="s">
        <v>96</v>
      </c>
      <c r="M239" s="11" t="s">
        <v>88</v>
      </c>
    </row>
    <row r="240" customFormat="false" ht="28.35" hidden="false" customHeight="false" outlineLevel="0" collapsed="false">
      <c r="A240" s="11" t="s">
        <v>565</v>
      </c>
      <c r="B240" s="12" t="s">
        <v>48</v>
      </c>
      <c r="C240" s="12" t="s">
        <v>47</v>
      </c>
      <c r="D240" s="12" t="n">
        <v>35</v>
      </c>
      <c r="E240" s="12" t="s">
        <v>525</v>
      </c>
      <c r="F240" s="12" t="s">
        <v>132</v>
      </c>
      <c r="G240" s="12" t="s">
        <v>566</v>
      </c>
      <c r="H240" s="12" t="s">
        <v>508</v>
      </c>
      <c r="I240" s="12" t="s">
        <v>93</v>
      </c>
      <c r="J240" s="12" t="s">
        <v>94</v>
      </c>
      <c r="K240" s="12" t="s">
        <v>95</v>
      </c>
      <c r="L240" s="12" t="s">
        <v>96</v>
      </c>
      <c r="M240" s="11" t="s">
        <v>88</v>
      </c>
    </row>
    <row r="241" customFormat="false" ht="28.35" hidden="false" customHeight="false" outlineLevel="0" collapsed="false">
      <c r="A241" s="11" t="s">
        <v>567</v>
      </c>
      <c r="B241" s="12" t="s">
        <v>48</v>
      </c>
      <c r="C241" s="12" t="s">
        <v>47</v>
      </c>
      <c r="D241" s="12" t="n">
        <v>36</v>
      </c>
      <c r="E241" s="12" t="s">
        <v>525</v>
      </c>
      <c r="F241" s="12" t="s">
        <v>132</v>
      </c>
      <c r="G241" s="12" t="s">
        <v>568</v>
      </c>
      <c r="H241" s="12" t="s">
        <v>508</v>
      </c>
      <c r="I241" s="12" t="s">
        <v>93</v>
      </c>
      <c r="J241" s="12" t="s">
        <v>94</v>
      </c>
      <c r="K241" s="12" t="s">
        <v>95</v>
      </c>
      <c r="L241" s="12" t="s">
        <v>96</v>
      </c>
      <c r="M241" s="11" t="s">
        <v>88</v>
      </c>
    </row>
    <row r="242" customFormat="false" ht="28.35" hidden="false" customHeight="false" outlineLevel="0" collapsed="false">
      <c r="A242" s="11" t="s">
        <v>569</v>
      </c>
      <c r="B242" s="12" t="s">
        <v>48</v>
      </c>
      <c r="C242" s="12" t="s">
        <v>47</v>
      </c>
      <c r="D242" s="12" t="n">
        <v>37</v>
      </c>
      <c r="E242" s="12" t="s">
        <v>525</v>
      </c>
      <c r="F242" s="12" t="s">
        <v>98</v>
      </c>
      <c r="G242" s="12" t="s">
        <v>570</v>
      </c>
      <c r="H242" s="12" t="s">
        <v>508</v>
      </c>
      <c r="I242" s="12" t="s">
        <v>93</v>
      </c>
      <c r="J242" s="12" t="s">
        <v>94</v>
      </c>
      <c r="K242" s="12" t="s">
        <v>95</v>
      </c>
      <c r="L242" s="12" t="s">
        <v>96</v>
      </c>
      <c r="M242" s="11" t="s">
        <v>88</v>
      </c>
    </row>
    <row r="243" customFormat="false" ht="28.35" hidden="false" customHeight="false" outlineLevel="0" collapsed="false">
      <c r="A243" s="11" t="s">
        <v>571</v>
      </c>
      <c r="B243" s="12" t="s">
        <v>48</v>
      </c>
      <c r="C243" s="12" t="s">
        <v>47</v>
      </c>
      <c r="D243" s="12" t="n">
        <v>38</v>
      </c>
      <c r="E243" s="12" t="s">
        <v>331</v>
      </c>
      <c r="F243" s="12" t="s">
        <v>82</v>
      </c>
      <c r="G243" s="12" t="s">
        <v>331</v>
      </c>
      <c r="H243" s="12" t="s">
        <v>508</v>
      </c>
      <c r="I243" s="12" t="s">
        <v>84</v>
      </c>
      <c r="J243" s="12" t="s">
        <v>85</v>
      </c>
      <c r="K243" s="12" t="s">
        <v>86</v>
      </c>
      <c r="L243" s="12" t="s">
        <v>87</v>
      </c>
      <c r="M243" s="11" t="s">
        <v>88</v>
      </c>
    </row>
    <row r="244" customFormat="false" ht="28.35" hidden="false" customHeight="false" outlineLevel="0" collapsed="false">
      <c r="A244" s="11" t="s">
        <v>572</v>
      </c>
      <c r="B244" s="12" t="s">
        <v>48</v>
      </c>
      <c r="C244" s="12" t="s">
        <v>47</v>
      </c>
      <c r="D244" s="12" t="n">
        <v>39</v>
      </c>
      <c r="E244" s="12" t="s">
        <v>331</v>
      </c>
      <c r="F244" s="12" t="s">
        <v>132</v>
      </c>
      <c r="G244" s="12" t="s">
        <v>573</v>
      </c>
      <c r="H244" s="12" t="s">
        <v>508</v>
      </c>
      <c r="I244" s="12" t="s">
        <v>84</v>
      </c>
      <c r="J244" s="12" t="s">
        <v>85</v>
      </c>
      <c r="K244" s="12" t="s">
        <v>86</v>
      </c>
      <c r="L244" s="12" t="s">
        <v>87</v>
      </c>
      <c r="M244" s="11" t="s">
        <v>88</v>
      </c>
    </row>
    <row r="245" customFormat="false" ht="28.35" hidden="false" customHeight="false" outlineLevel="0" collapsed="false">
      <c r="A245" s="11" t="s">
        <v>574</v>
      </c>
      <c r="B245" s="12" t="s">
        <v>48</v>
      </c>
      <c r="C245" s="12" t="s">
        <v>47</v>
      </c>
      <c r="D245" s="12" t="n">
        <v>40</v>
      </c>
      <c r="E245" s="12" t="s">
        <v>331</v>
      </c>
      <c r="F245" s="12" t="s">
        <v>132</v>
      </c>
      <c r="G245" s="12" t="s">
        <v>575</v>
      </c>
      <c r="H245" s="12" t="s">
        <v>508</v>
      </c>
      <c r="I245" s="12" t="s">
        <v>84</v>
      </c>
      <c r="J245" s="12" t="s">
        <v>85</v>
      </c>
      <c r="K245" s="12" t="s">
        <v>86</v>
      </c>
      <c r="L245" s="12" t="s">
        <v>87</v>
      </c>
      <c r="M245" s="11" t="s">
        <v>88</v>
      </c>
    </row>
    <row r="246" customFormat="false" ht="28.35" hidden="false" customHeight="false" outlineLevel="0" collapsed="false">
      <c r="A246" s="11" t="s">
        <v>576</v>
      </c>
      <c r="B246" s="12" t="s">
        <v>48</v>
      </c>
      <c r="C246" s="12" t="s">
        <v>47</v>
      </c>
      <c r="D246" s="12" t="n">
        <v>41</v>
      </c>
      <c r="E246" s="12" t="s">
        <v>331</v>
      </c>
      <c r="F246" s="12" t="s">
        <v>132</v>
      </c>
      <c r="G246" s="12" t="s">
        <v>577</v>
      </c>
      <c r="H246" s="12" t="s">
        <v>508</v>
      </c>
      <c r="I246" s="12" t="s">
        <v>84</v>
      </c>
      <c r="J246" s="12" t="s">
        <v>85</v>
      </c>
      <c r="K246" s="12" t="s">
        <v>86</v>
      </c>
      <c r="L246" s="12" t="s">
        <v>87</v>
      </c>
      <c r="M246" s="11" t="s">
        <v>88</v>
      </c>
    </row>
    <row r="247" customFormat="false" ht="28.35" hidden="false" customHeight="false" outlineLevel="0" collapsed="false">
      <c r="A247" s="11" t="s">
        <v>578</v>
      </c>
      <c r="B247" s="12" t="s">
        <v>48</v>
      </c>
      <c r="C247" s="12" t="s">
        <v>47</v>
      </c>
      <c r="D247" s="12" t="n">
        <v>42</v>
      </c>
      <c r="E247" s="12" t="s">
        <v>331</v>
      </c>
      <c r="F247" s="12" t="s">
        <v>132</v>
      </c>
      <c r="G247" s="12" t="s">
        <v>339</v>
      </c>
      <c r="H247" s="12" t="s">
        <v>508</v>
      </c>
      <c r="I247" s="12" t="s">
        <v>84</v>
      </c>
      <c r="J247" s="12" t="s">
        <v>85</v>
      </c>
      <c r="K247" s="12" t="s">
        <v>86</v>
      </c>
      <c r="L247" s="12" t="s">
        <v>87</v>
      </c>
      <c r="M247" s="11" t="s">
        <v>88</v>
      </c>
    </row>
    <row r="248" customFormat="false" ht="28.35" hidden="false" customHeight="false" outlineLevel="0" collapsed="false">
      <c r="A248" s="11" t="s">
        <v>579</v>
      </c>
      <c r="B248" s="12" t="s">
        <v>48</v>
      </c>
      <c r="C248" s="12" t="s">
        <v>47</v>
      </c>
      <c r="D248" s="12" t="n">
        <v>43</v>
      </c>
      <c r="E248" s="12" t="s">
        <v>331</v>
      </c>
      <c r="F248" s="12" t="s">
        <v>132</v>
      </c>
      <c r="G248" s="12" t="s">
        <v>580</v>
      </c>
      <c r="H248" s="12" t="s">
        <v>508</v>
      </c>
      <c r="I248" s="12" t="s">
        <v>84</v>
      </c>
      <c r="J248" s="12" t="s">
        <v>85</v>
      </c>
      <c r="K248" s="12" t="s">
        <v>86</v>
      </c>
      <c r="L248" s="12" t="s">
        <v>87</v>
      </c>
      <c r="M248" s="11" t="s">
        <v>88</v>
      </c>
    </row>
    <row r="249" customFormat="false" ht="28.35" hidden="false" customHeight="false" outlineLevel="0" collapsed="false">
      <c r="A249" s="11" t="s">
        <v>581</v>
      </c>
      <c r="B249" s="12" t="s">
        <v>48</v>
      </c>
      <c r="C249" s="12" t="s">
        <v>47</v>
      </c>
      <c r="D249" s="12" t="n">
        <v>44</v>
      </c>
      <c r="E249" s="12" t="s">
        <v>582</v>
      </c>
      <c r="F249" s="12" t="s">
        <v>82</v>
      </c>
      <c r="G249" s="12" t="s">
        <v>582</v>
      </c>
      <c r="H249" s="12" t="s">
        <v>508</v>
      </c>
      <c r="I249" s="12" t="s">
        <v>158</v>
      </c>
      <c r="J249" s="12" t="s">
        <v>159</v>
      </c>
      <c r="K249" s="12" t="s">
        <v>19</v>
      </c>
      <c r="L249" s="12" t="s">
        <v>87</v>
      </c>
      <c r="M249" s="11" t="s">
        <v>88</v>
      </c>
    </row>
    <row r="250" customFormat="false" ht="28.35" hidden="false" customHeight="false" outlineLevel="0" collapsed="false">
      <c r="A250" s="11" t="s">
        <v>583</v>
      </c>
      <c r="B250" s="12" t="s">
        <v>48</v>
      </c>
      <c r="C250" s="12" t="s">
        <v>47</v>
      </c>
      <c r="D250" s="12" t="n">
        <v>45</v>
      </c>
      <c r="E250" s="12" t="s">
        <v>584</v>
      </c>
      <c r="F250" s="12" t="s">
        <v>82</v>
      </c>
      <c r="G250" s="12" t="s">
        <v>584</v>
      </c>
      <c r="H250" s="12" t="s">
        <v>508</v>
      </c>
      <c r="I250" s="12" t="s">
        <v>158</v>
      </c>
      <c r="J250" s="12" t="s">
        <v>159</v>
      </c>
      <c r="K250" s="12" t="s">
        <v>19</v>
      </c>
      <c r="L250" s="12" t="s">
        <v>87</v>
      </c>
      <c r="M250" s="11" t="s">
        <v>88</v>
      </c>
    </row>
    <row r="251" customFormat="false" ht="41.75" hidden="false" customHeight="false" outlineLevel="0" collapsed="false">
      <c r="A251" s="11" t="s">
        <v>585</v>
      </c>
      <c r="B251" s="12" t="s">
        <v>48</v>
      </c>
      <c r="C251" s="12" t="s">
        <v>47</v>
      </c>
      <c r="D251" s="12" t="n">
        <v>46</v>
      </c>
      <c r="E251" s="12" t="s">
        <v>584</v>
      </c>
      <c r="F251" s="12" t="s">
        <v>132</v>
      </c>
      <c r="G251" s="12" t="s">
        <v>586</v>
      </c>
      <c r="H251" s="12" t="s">
        <v>508</v>
      </c>
      <c r="I251" s="12" t="s">
        <v>164</v>
      </c>
      <c r="J251" s="12" t="s">
        <v>165</v>
      </c>
      <c r="K251" s="12" t="s">
        <v>16</v>
      </c>
      <c r="L251" s="12" t="s">
        <v>87</v>
      </c>
      <c r="M251" s="11" t="s">
        <v>88</v>
      </c>
    </row>
    <row r="252" customFormat="false" ht="28.35" hidden="false" customHeight="false" outlineLevel="0" collapsed="false">
      <c r="A252" s="11" t="s">
        <v>587</v>
      </c>
      <c r="B252" s="12" t="s">
        <v>48</v>
      </c>
      <c r="C252" s="12" t="s">
        <v>47</v>
      </c>
      <c r="D252" s="12" t="n">
        <v>47</v>
      </c>
      <c r="E252" s="12" t="s">
        <v>584</v>
      </c>
      <c r="F252" s="12" t="s">
        <v>132</v>
      </c>
      <c r="G252" s="12" t="s">
        <v>167</v>
      </c>
      <c r="H252" s="12" t="s">
        <v>508</v>
      </c>
      <c r="I252" s="12" t="s">
        <v>168</v>
      </c>
      <c r="J252" s="12" t="s">
        <v>169</v>
      </c>
      <c r="K252" s="12" t="s">
        <v>31</v>
      </c>
      <c r="L252" s="12" t="s">
        <v>96</v>
      </c>
      <c r="M252" s="11" t="s">
        <v>170</v>
      </c>
    </row>
    <row r="253" customFormat="false" ht="176.1" hidden="false" customHeight="false" outlineLevel="0" collapsed="false">
      <c r="A253" s="11" t="s">
        <v>588</v>
      </c>
      <c r="B253" s="12" t="s">
        <v>48</v>
      </c>
      <c r="C253" s="12" t="s">
        <v>47</v>
      </c>
      <c r="D253" s="12" t="n">
        <v>48</v>
      </c>
      <c r="E253" s="12" t="s">
        <v>584</v>
      </c>
      <c r="F253" s="12" t="s">
        <v>98</v>
      </c>
      <c r="G253" s="12" t="s">
        <v>589</v>
      </c>
      <c r="H253" s="12" t="s">
        <v>508</v>
      </c>
      <c r="I253" s="12" t="s">
        <v>168</v>
      </c>
      <c r="J253" s="12" t="s">
        <v>169</v>
      </c>
      <c r="K253" s="12" t="s">
        <v>31</v>
      </c>
      <c r="L253" s="12" t="s">
        <v>96</v>
      </c>
      <c r="M253" s="11" t="s">
        <v>170</v>
      </c>
    </row>
    <row r="254" customFormat="false" ht="41.75" hidden="false" customHeight="false" outlineLevel="0" collapsed="false">
      <c r="A254" s="11" t="s">
        <v>590</v>
      </c>
      <c r="B254" s="12" t="s">
        <v>48</v>
      </c>
      <c r="C254" s="12" t="s">
        <v>47</v>
      </c>
      <c r="D254" s="12" t="n">
        <v>49</v>
      </c>
      <c r="E254" s="12" t="s">
        <v>584</v>
      </c>
      <c r="F254" s="12" t="s">
        <v>98</v>
      </c>
      <c r="G254" s="12" t="s">
        <v>591</v>
      </c>
      <c r="H254" s="12" t="s">
        <v>508</v>
      </c>
      <c r="I254" s="12" t="s">
        <v>175</v>
      </c>
      <c r="J254" s="12" t="s">
        <v>176</v>
      </c>
      <c r="K254" s="12" t="s">
        <v>22</v>
      </c>
      <c r="L254" s="12" t="s">
        <v>96</v>
      </c>
      <c r="M254" s="11" t="s">
        <v>88</v>
      </c>
    </row>
    <row r="255" customFormat="false" ht="28.35" hidden="false" customHeight="false" outlineLevel="0" collapsed="false">
      <c r="A255" s="11" t="s">
        <v>592</v>
      </c>
      <c r="B255" s="12" t="s">
        <v>48</v>
      </c>
      <c r="C255" s="12" t="s">
        <v>47</v>
      </c>
      <c r="D255" s="12" t="n">
        <v>50</v>
      </c>
      <c r="E255" s="12" t="s">
        <v>584</v>
      </c>
      <c r="F255" s="12" t="s">
        <v>132</v>
      </c>
      <c r="G255" s="12" t="s">
        <v>593</v>
      </c>
      <c r="H255" s="12" t="s">
        <v>508</v>
      </c>
      <c r="I255" s="12" t="s">
        <v>164</v>
      </c>
      <c r="J255" s="12" t="s">
        <v>165</v>
      </c>
      <c r="K255" s="12" t="s">
        <v>16</v>
      </c>
      <c r="L255" s="12" t="s">
        <v>87</v>
      </c>
      <c r="M255" s="11" t="s">
        <v>88</v>
      </c>
    </row>
    <row r="256" customFormat="false" ht="28.35" hidden="false" customHeight="false" outlineLevel="0" collapsed="false">
      <c r="A256" s="11" t="s">
        <v>594</v>
      </c>
      <c r="B256" s="12" t="s">
        <v>48</v>
      </c>
      <c r="C256" s="12" t="s">
        <v>47</v>
      </c>
      <c r="D256" s="12" t="n">
        <v>51</v>
      </c>
      <c r="E256" s="12" t="s">
        <v>595</v>
      </c>
      <c r="F256" s="12" t="s">
        <v>82</v>
      </c>
      <c r="G256" s="12" t="s">
        <v>595</v>
      </c>
      <c r="H256" s="12" t="s">
        <v>508</v>
      </c>
      <c r="I256" s="12" t="s">
        <v>158</v>
      </c>
      <c r="J256" s="12" t="s">
        <v>159</v>
      </c>
      <c r="K256" s="12" t="s">
        <v>19</v>
      </c>
      <c r="L256" s="12" t="s">
        <v>87</v>
      </c>
      <c r="M256" s="11" t="s">
        <v>88</v>
      </c>
    </row>
    <row r="257" customFormat="false" ht="28.35" hidden="false" customHeight="false" outlineLevel="0" collapsed="false">
      <c r="A257" s="11" t="s">
        <v>596</v>
      </c>
      <c r="B257" s="12" t="s">
        <v>48</v>
      </c>
      <c r="C257" s="12" t="s">
        <v>47</v>
      </c>
      <c r="D257" s="12" t="n">
        <v>52</v>
      </c>
      <c r="E257" s="12" t="s">
        <v>597</v>
      </c>
      <c r="F257" s="12" t="s">
        <v>82</v>
      </c>
      <c r="G257" s="12" t="s">
        <v>597</v>
      </c>
      <c r="H257" s="12" t="s">
        <v>508</v>
      </c>
      <c r="I257" s="12" t="s">
        <v>158</v>
      </c>
      <c r="J257" s="12" t="s">
        <v>159</v>
      </c>
      <c r="K257" s="12" t="s">
        <v>19</v>
      </c>
      <c r="L257" s="12" t="s">
        <v>87</v>
      </c>
      <c r="M257" s="11" t="s">
        <v>88</v>
      </c>
    </row>
    <row r="258" customFormat="false" ht="28.35" hidden="false" customHeight="false" outlineLevel="0" collapsed="false">
      <c r="A258" s="11" t="s">
        <v>598</v>
      </c>
      <c r="B258" s="12" t="s">
        <v>48</v>
      </c>
      <c r="C258" s="12" t="s">
        <v>47</v>
      </c>
      <c r="D258" s="12" t="n">
        <v>53</v>
      </c>
      <c r="E258" s="12" t="s">
        <v>597</v>
      </c>
      <c r="F258" s="12" t="s">
        <v>132</v>
      </c>
      <c r="G258" s="12" t="s">
        <v>599</v>
      </c>
      <c r="H258" s="12" t="s">
        <v>508</v>
      </c>
      <c r="I258" s="12" t="s">
        <v>164</v>
      </c>
      <c r="J258" s="12" t="s">
        <v>165</v>
      </c>
      <c r="K258" s="12" t="s">
        <v>16</v>
      </c>
      <c r="L258" s="12" t="s">
        <v>87</v>
      </c>
      <c r="M258" s="11" t="s">
        <v>88</v>
      </c>
    </row>
    <row r="259" customFormat="false" ht="41.75" hidden="false" customHeight="false" outlineLevel="0" collapsed="false">
      <c r="A259" s="11" t="s">
        <v>600</v>
      </c>
      <c r="B259" s="12" t="s">
        <v>48</v>
      </c>
      <c r="C259" s="12" t="s">
        <v>47</v>
      </c>
      <c r="D259" s="12" t="n">
        <v>54</v>
      </c>
      <c r="E259" s="12" t="s">
        <v>597</v>
      </c>
      <c r="F259" s="12" t="s">
        <v>132</v>
      </c>
      <c r="G259" s="12" t="s">
        <v>601</v>
      </c>
      <c r="H259" s="12" t="s">
        <v>508</v>
      </c>
      <c r="I259" s="12" t="s">
        <v>164</v>
      </c>
      <c r="J259" s="12" t="s">
        <v>165</v>
      </c>
      <c r="K259" s="12" t="s">
        <v>16</v>
      </c>
      <c r="L259" s="12" t="s">
        <v>87</v>
      </c>
      <c r="M259" s="11" t="s">
        <v>88</v>
      </c>
    </row>
    <row r="260" customFormat="false" ht="28.35" hidden="false" customHeight="false" outlineLevel="0" collapsed="false">
      <c r="A260" s="11" t="s">
        <v>602</v>
      </c>
      <c r="B260" s="12" t="s">
        <v>48</v>
      </c>
      <c r="C260" s="12" t="s">
        <v>47</v>
      </c>
      <c r="D260" s="12" t="n">
        <v>55</v>
      </c>
      <c r="E260" s="12" t="s">
        <v>597</v>
      </c>
      <c r="F260" s="12" t="s">
        <v>132</v>
      </c>
      <c r="G260" s="12" t="s">
        <v>603</v>
      </c>
      <c r="H260" s="12" t="s">
        <v>508</v>
      </c>
      <c r="I260" s="12" t="s">
        <v>164</v>
      </c>
      <c r="J260" s="12" t="s">
        <v>165</v>
      </c>
      <c r="K260" s="12" t="s">
        <v>16</v>
      </c>
      <c r="L260" s="12" t="s">
        <v>87</v>
      </c>
      <c r="M260" s="11" t="s">
        <v>88</v>
      </c>
    </row>
    <row r="261" customFormat="false" ht="28.35" hidden="false" customHeight="false" outlineLevel="0" collapsed="false">
      <c r="A261" s="11" t="s">
        <v>604</v>
      </c>
      <c r="B261" s="12" t="s">
        <v>48</v>
      </c>
      <c r="C261" s="12" t="s">
        <v>47</v>
      </c>
      <c r="D261" s="12" t="n">
        <v>56</v>
      </c>
      <c r="E261" s="12" t="s">
        <v>597</v>
      </c>
      <c r="F261" s="12" t="s">
        <v>132</v>
      </c>
      <c r="G261" s="12" t="s">
        <v>605</v>
      </c>
      <c r="H261" s="12" t="s">
        <v>508</v>
      </c>
      <c r="I261" s="12" t="s">
        <v>164</v>
      </c>
      <c r="J261" s="12" t="s">
        <v>165</v>
      </c>
      <c r="K261" s="12" t="s">
        <v>16</v>
      </c>
      <c r="L261" s="12" t="s">
        <v>87</v>
      </c>
      <c r="M261" s="11" t="s">
        <v>88</v>
      </c>
    </row>
    <row r="262" customFormat="false" ht="28.35" hidden="false" customHeight="false" outlineLevel="0" collapsed="false">
      <c r="A262" s="11" t="s">
        <v>606</v>
      </c>
      <c r="B262" s="12" t="s">
        <v>48</v>
      </c>
      <c r="C262" s="12" t="s">
        <v>47</v>
      </c>
      <c r="D262" s="12" t="n">
        <v>57</v>
      </c>
      <c r="E262" s="12" t="s">
        <v>597</v>
      </c>
      <c r="F262" s="12" t="s">
        <v>132</v>
      </c>
      <c r="G262" s="12" t="s">
        <v>607</v>
      </c>
      <c r="H262" s="12" t="s">
        <v>508</v>
      </c>
      <c r="I262" s="12" t="s">
        <v>164</v>
      </c>
      <c r="J262" s="12" t="s">
        <v>165</v>
      </c>
      <c r="K262" s="12" t="s">
        <v>16</v>
      </c>
      <c r="L262" s="12" t="s">
        <v>87</v>
      </c>
      <c r="M262" s="11" t="s">
        <v>88</v>
      </c>
    </row>
    <row r="263" customFormat="false" ht="28.35" hidden="false" customHeight="false" outlineLevel="0" collapsed="false">
      <c r="A263" s="11" t="s">
        <v>608</v>
      </c>
      <c r="B263" s="12" t="s">
        <v>48</v>
      </c>
      <c r="C263" s="12" t="s">
        <v>47</v>
      </c>
      <c r="D263" s="12" t="n">
        <v>58</v>
      </c>
      <c r="E263" s="12" t="s">
        <v>597</v>
      </c>
      <c r="F263" s="12" t="s">
        <v>132</v>
      </c>
      <c r="G263" s="12" t="s">
        <v>609</v>
      </c>
      <c r="H263" s="12" t="s">
        <v>508</v>
      </c>
      <c r="I263" s="12" t="s">
        <v>164</v>
      </c>
      <c r="J263" s="12" t="s">
        <v>165</v>
      </c>
      <c r="K263" s="12" t="s">
        <v>16</v>
      </c>
      <c r="L263" s="12" t="s">
        <v>87</v>
      </c>
      <c r="M263" s="11" t="s">
        <v>88</v>
      </c>
    </row>
    <row r="264" customFormat="false" ht="28.35" hidden="false" customHeight="false" outlineLevel="0" collapsed="false">
      <c r="A264" s="11" t="s">
        <v>610</v>
      </c>
      <c r="B264" s="12" t="s">
        <v>48</v>
      </c>
      <c r="C264" s="12" t="s">
        <v>47</v>
      </c>
      <c r="D264" s="12" t="n">
        <v>59</v>
      </c>
      <c r="E264" s="12" t="s">
        <v>597</v>
      </c>
      <c r="F264" s="12" t="s">
        <v>132</v>
      </c>
      <c r="G264" s="12" t="s">
        <v>611</v>
      </c>
      <c r="H264" s="12" t="s">
        <v>508</v>
      </c>
      <c r="I264" s="12" t="s">
        <v>164</v>
      </c>
      <c r="J264" s="12" t="s">
        <v>165</v>
      </c>
      <c r="K264" s="12" t="s">
        <v>16</v>
      </c>
      <c r="L264" s="12" t="s">
        <v>87</v>
      </c>
      <c r="M264" s="11" t="s">
        <v>88</v>
      </c>
    </row>
    <row r="265" customFormat="false" ht="28.35" hidden="false" customHeight="false" outlineLevel="0" collapsed="false">
      <c r="A265" s="11" t="s">
        <v>612</v>
      </c>
      <c r="B265" s="12" t="s">
        <v>48</v>
      </c>
      <c r="C265" s="12" t="s">
        <v>47</v>
      </c>
      <c r="D265" s="12" t="n">
        <v>60</v>
      </c>
      <c r="E265" s="12" t="s">
        <v>597</v>
      </c>
      <c r="F265" s="12" t="s">
        <v>132</v>
      </c>
      <c r="G265" s="12" t="s">
        <v>613</v>
      </c>
      <c r="H265" s="12" t="s">
        <v>508</v>
      </c>
      <c r="I265" s="12" t="s">
        <v>164</v>
      </c>
      <c r="J265" s="12" t="s">
        <v>165</v>
      </c>
      <c r="K265" s="12" t="s">
        <v>16</v>
      </c>
      <c r="L265" s="12" t="s">
        <v>87</v>
      </c>
      <c r="M265" s="11" t="s">
        <v>88</v>
      </c>
    </row>
    <row r="266" customFormat="false" ht="28.35" hidden="false" customHeight="false" outlineLevel="0" collapsed="false">
      <c r="A266" s="11" t="s">
        <v>614</v>
      </c>
      <c r="B266" s="12" t="s">
        <v>48</v>
      </c>
      <c r="C266" s="12" t="s">
        <v>47</v>
      </c>
      <c r="D266" s="12" t="n">
        <v>61</v>
      </c>
      <c r="E266" s="12" t="s">
        <v>597</v>
      </c>
      <c r="F266" s="12" t="s">
        <v>132</v>
      </c>
      <c r="G266" s="12" t="s">
        <v>385</v>
      </c>
      <c r="H266" s="12" t="s">
        <v>508</v>
      </c>
      <c r="I266" s="12" t="s">
        <v>164</v>
      </c>
      <c r="J266" s="12" t="s">
        <v>165</v>
      </c>
      <c r="K266" s="12" t="s">
        <v>16</v>
      </c>
      <c r="L266" s="12" t="s">
        <v>87</v>
      </c>
      <c r="M266" s="11" t="s">
        <v>88</v>
      </c>
    </row>
    <row r="267" customFormat="false" ht="55.2" hidden="false" customHeight="false" outlineLevel="0" collapsed="false">
      <c r="A267" s="11" t="s">
        <v>615</v>
      </c>
      <c r="B267" s="12" t="s">
        <v>48</v>
      </c>
      <c r="C267" s="12" t="s">
        <v>47</v>
      </c>
      <c r="D267" s="12" t="n">
        <v>62</v>
      </c>
      <c r="E267" s="12" t="s">
        <v>597</v>
      </c>
      <c r="F267" s="12" t="s">
        <v>98</v>
      </c>
      <c r="G267" s="12" t="s">
        <v>616</v>
      </c>
      <c r="H267" s="12" t="s">
        <v>508</v>
      </c>
      <c r="I267" s="12" t="s">
        <v>175</v>
      </c>
      <c r="J267" s="12" t="s">
        <v>176</v>
      </c>
      <c r="K267" s="12" t="s">
        <v>22</v>
      </c>
      <c r="L267" s="12" t="s">
        <v>96</v>
      </c>
      <c r="M267" s="11" t="s">
        <v>88</v>
      </c>
    </row>
    <row r="268" customFormat="false" ht="28.35" hidden="false" customHeight="false" outlineLevel="0" collapsed="false">
      <c r="A268" s="11" t="s">
        <v>617</v>
      </c>
      <c r="B268" s="12" t="s">
        <v>48</v>
      </c>
      <c r="C268" s="12" t="s">
        <v>47</v>
      </c>
      <c r="D268" s="12" t="n">
        <v>63</v>
      </c>
      <c r="E268" s="12" t="s">
        <v>597</v>
      </c>
      <c r="F268" s="12" t="s">
        <v>132</v>
      </c>
      <c r="G268" s="12" t="s">
        <v>618</v>
      </c>
      <c r="H268" s="12" t="s">
        <v>508</v>
      </c>
      <c r="I268" s="12" t="s">
        <v>164</v>
      </c>
      <c r="J268" s="12" t="s">
        <v>165</v>
      </c>
      <c r="K268" s="12" t="s">
        <v>16</v>
      </c>
      <c r="L268" s="12" t="s">
        <v>87</v>
      </c>
      <c r="M268" s="11" t="s">
        <v>88</v>
      </c>
    </row>
    <row r="269" customFormat="false" ht="28.35" hidden="false" customHeight="false" outlineLevel="0" collapsed="false">
      <c r="A269" s="11" t="s">
        <v>619</v>
      </c>
      <c r="B269" s="12" t="s">
        <v>48</v>
      </c>
      <c r="C269" s="12" t="s">
        <v>47</v>
      </c>
      <c r="D269" s="12" t="n">
        <v>64</v>
      </c>
      <c r="E269" s="12" t="s">
        <v>597</v>
      </c>
      <c r="F269" s="12" t="s">
        <v>132</v>
      </c>
      <c r="G269" s="12" t="s">
        <v>620</v>
      </c>
      <c r="H269" s="12" t="s">
        <v>508</v>
      </c>
      <c r="I269" s="12" t="s">
        <v>164</v>
      </c>
      <c r="J269" s="12" t="s">
        <v>165</v>
      </c>
      <c r="K269" s="12" t="s">
        <v>16</v>
      </c>
      <c r="L269" s="12" t="s">
        <v>87</v>
      </c>
      <c r="M269" s="11" t="s">
        <v>88</v>
      </c>
    </row>
    <row r="270" customFormat="false" ht="41.75" hidden="false" customHeight="false" outlineLevel="0" collapsed="false">
      <c r="A270" s="11" t="s">
        <v>621</v>
      </c>
      <c r="B270" s="12" t="s">
        <v>48</v>
      </c>
      <c r="C270" s="12" t="s">
        <v>47</v>
      </c>
      <c r="D270" s="12" t="n">
        <v>65</v>
      </c>
      <c r="E270" s="12" t="s">
        <v>597</v>
      </c>
      <c r="F270" s="12" t="s">
        <v>132</v>
      </c>
      <c r="G270" s="12" t="s">
        <v>622</v>
      </c>
      <c r="H270" s="12" t="s">
        <v>508</v>
      </c>
      <c r="I270" s="12" t="s">
        <v>164</v>
      </c>
      <c r="J270" s="12" t="s">
        <v>165</v>
      </c>
      <c r="K270" s="12" t="s">
        <v>16</v>
      </c>
      <c r="L270" s="12" t="s">
        <v>87</v>
      </c>
      <c r="M270" s="11" t="s">
        <v>88</v>
      </c>
    </row>
    <row r="271" customFormat="false" ht="41.75" hidden="false" customHeight="false" outlineLevel="0" collapsed="false">
      <c r="A271" s="11" t="s">
        <v>623</v>
      </c>
      <c r="B271" s="12" t="s">
        <v>48</v>
      </c>
      <c r="C271" s="12" t="s">
        <v>47</v>
      </c>
      <c r="D271" s="12" t="n">
        <v>66</v>
      </c>
      <c r="E271" s="12" t="s">
        <v>597</v>
      </c>
      <c r="F271" s="12" t="s">
        <v>132</v>
      </c>
      <c r="G271" s="12" t="s">
        <v>624</v>
      </c>
      <c r="H271" s="12" t="s">
        <v>508</v>
      </c>
      <c r="I271" s="12" t="s">
        <v>164</v>
      </c>
      <c r="J271" s="12" t="s">
        <v>165</v>
      </c>
      <c r="K271" s="12" t="s">
        <v>16</v>
      </c>
      <c r="L271" s="12" t="s">
        <v>87</v>
      </c>
      <c r="M271" s="11" t="s">
        <v>88</v>
      </c>
    </row>
    <row r="272" customFormat="false" ht="28.35" hidden="false" customHeight="false" outlineLevel="0" collapsed="false">
      <c r="A272" s="11" t="s">
        <v>625</v>
      </c>
      <c r="B272" s="12" t="s">
        <v>48</v>
      </c>
      <c r="C272" s="12" t="s">
        <v>47</v>
      </c>
      <c r="D272" s="12" t="n">
        <v>67</v>
      </c>
      <c r="E272" s="12" t="s">
        <v>597</v>
      </c>
      <c r="F272" s="12" t="s">
        <v>132</v>
      </c>
      <c r="G272" s="12" t="s">
        <v>626</v>
      </c>
      <c r="H272" s="12" t="s">
        <v>508</v>
      </c>
      <c r="I272" s="12" t="s">
        <v>164</v>
      </c>
      <c r="J272" s="12" t="s">
        <v>165</v>
      </c>
      <c r="K272" s="12" t="s">
        <v>16</v>
      </c>
      <c r="L272" s="12" t="s">
        <v>87</v>
      </c>
      <c r="M272" s="11" t="s">
        <v>88</v>
      </c>
    </row>
    <row r="273" customFormat="false" ht="28.35" hidden="false" customHeight="false" outlineLevel="0" collapsed="false">
      <c r="A273" s="11" t="s">
        <v>627</v>
      </c>
      <c r="B273" s="12" t="s">
        <v>48</v>
      </c>
      <c r="C273" s="12" t="s">
        <v>47</v>
      </c>
      <c r="D273" s="12" t="n">
        <v>68</v>
      </c>
      <c r="E273" s="12" t="s">
        <v>597</v>
      </c>
      <c r="F273" s="12" t="s">
        <v>132</v>
      </c>
      <c r="G273" s="12" t="s">
        <v>628</v>
      </c>
      <c r="H273" s="12" t="s">
        <v>508</v>
      </c>
      <c r="I273" s="12" t="s">
        <v>164</v>
      </c>
      <c r="J273" s="12" t="s">
        <v>165</v>
      </c>
      <c r="K273" s="12" t="s">
        <v>16</v>
      </c>
      <c r="L273" s="12" t="s">
        <v>87</v>
      </c>
      <c r="M273" s="11" t="s">
        <v>88</v>
      </c>
    </row>
    <row r="274" customFormat="false" ht="28.35" hidden="false" customHeight="false" outlineLevel="0" collapsed="false">
      <c r="A274" s="11" t="s">
        <v>629</v>
      </c>
      <c r="B274" s="12" t="s">
        <v>48</v>
      </c>
      <c r="C274" s="12" t="s">
        <v>47</v>
      </c>
      <c r="D274" s="12" t="n">
        <v>69</v>
      </c>
      <c r="E274" s="12" t="s">
        <v>597</v>
      </c>
      <c r="F274" s="12" t="s">
        <v>98</v>
      </c>
      <c r="G274" s="12" t="s">
        <v>630</v>
      </c>
      <c r="H274" s="12" t="s">
        <v>508</v>
      </c>
      <c r="I274" s="12" t="s">
        <v>175</v>
      </c>
      <c r="J274" s="12" t="s">
        <v>176</v>
      </c>
      <c r="K274" s="12" t="s">
        <v>22</v>
      </c>
      <c r="L274" s="12" t="s">
        <v>96</v>
      </c>
      <c r="M274" s="11" t="s">
        <v>88</v>
      </c>
    </row>
    <row r="275" customFormat="false" ht="28.35" hidden="false" customHeight="false" outlineLevel="0" collapsed="false">
      <c r="A275" s="11" t="s">
        <v>631</v>
      </c>
      <c r="B275" s="12" t="s">
        <v>48</v>
      </c>
      <c r="C275" s="12" t="s">
        <v>47</v>
      </c>
      <c r="D275" s="12" t="n">
        <v>70</v>
      </c>
      <c r="E275" s="12" t="s">
        <v>410</v>
      </c>
      <c r="F275" s="12" t="s">
        <v>82</v>
      </c>
      <c r="G275" s="12" t="s">
        <v>410</v>
      </c>
      <c r="H275" s="12" t="s">
        <v>508</v>
      </c>
      <c r="I275" s="12" t="s">
        <v>411</v>
      </c>
      <c r="J275" s="12" t="s">
        <v>412</v>
      </c>
      <c r="K275" s="12" t="s">
        <v>413</v>
      </c>
      <c r="L275" s="12" t="s">
        <v>87</v>
      </c>
      <c r="M275" s="11" t="s">
        <v>88</v>
      </c>
    </row>
    <row r="276" customFormat="false" ht="28.35" hidden="false" customHeight="false" outlineLevel="0" collapsed="false">
      <c r="A276" s="11" t="s">
        <v>632</v>
      </c>
      <c r="B276" s="12" t="s">
        <v>48</v>
      </c>
      <c r="C276" s="12" t="s">
        <v>47</v>
      </c>
      <c r="D276" s="12" t="n">
        <v>71</v>
      </c>
      <c r="E276" s="12" t="s">
        <v>633</v>
      </c>
      <c r="F276" s="12" t="s">
        <v>82</v>
      </c>
      <c r="G276" s="12" t="s">
        <v>633</v>
      </c>
      <c r="H276" s="12" t="s">
        <v>508</v>
      </c>
      <c r="I276" s="12" t="s">
        <v>411</v>
      </c>
      <c r="J276" s="12" t="s">
        <v>412</v>
      </c>
      <c r="K276" s="12" t="s">
        <v>413</v>
      </c>
      <c r="L276" s="12" t="s">
        <v>87</v>
      </c>
      <c r="M276" s="11" t="s">
        <v>88</v>
      </c>
    </row>
    <row r="277" customFormat="false" ht="28.35" hidden="false" customHeight="false" outlineLevel="0" collapsed="false">
      <c r="A277" s="11" t="s">
        <v>634</v>
      </c>
      <c r="B277" s="12" t="s">
        <v>48</v>
      </c>
      <c r="C277" s="12" t="s">
        <v>47</v>
      </c>
      <c r="D277" s="12" t="n">
        <v>72</v>
      </c>
      <c r="E277" s="12" t="s">
        <v>633</v>
      </c>
      <c r="F277" s="12" t="s">
        <v>132</v>
      </c>
      <c r="G277" s="12" t="s">
        <v>635</v>
      </c>
      <c r="H277" s="12" t="s">
        <v>508</v>
      </c>
      <c r="I277" s="12" t="s">
        <v>411</v>
      </c>
      <c r="J277" s="12" t="s">
        <v>412</v>
      </c>
      <c r="K277" s="12" t="s">
        <v>413</v>
      </c>
      <c r="L277" s="12" t="s">
        <v>87</v>
      </c>
      <c r="M277" s="11" t="s">
        <v>88</v>
      </c>
    </row>
    <row r="278" customFormat="false" ht="28.35" hidden="false" customHeight="false" outlineLevel="0" collapsed="false">
      <c r="A278" s="11" t="s">
        <v>636</v>
      </c>
      <c r="B278" s="12" t="s">
        <v>48</v>
      </c>
      <c r="C278" s="12" t="s">
        <v>47</v>
      </c>
      <c r="D278" s="12" t="n">
        <v>73</v>
      </c>
      <c r="E278" s="12" t="s">
        <v>633</v>
      </c>
      <c r="F278" s="12" t="s">
        <v>132</v>
      </c>
      <c r="G278" s="12" t="s">
        <v>637</v>
      </c>
      <c r="H278" s="12" t="s">
        <v>508</v>
      </c>
      <c r="I278" s="12" t="s">
        <v>411</v>
      </c>
      <c r="J278" s="12" t="s">
        <v>412</v>
      </c>
      <c r="K278" s="12" t="s">
        <v>413</v>
      </c>
      <c r="L278" s="12" t="s">
        <v>87</v>
      </c>
      <c r="M278" s="11" t="s">
        <v>88</v>
      </c>
    </row>
    <row r="279" customFormat="false" ht="28.35" hidden="false" customHeight="false" outlineLevel="0" collapsed="false">
      <c r="A279" s="11" t="s">
        <v>638</v>
      </c>
      <c r="B279" s="12" t="s">
        <v>48</v>
      </c>
      <c r="C279" s="12" t="s">
        <v>47</v>
      </c>
      <c r="D279" s="12" t="n">
        <v>74</v>
      </c>
      <c r="E279" s="12" t="s">
        <v>633</v>
      </c>
      <c r="F279" s="12" t="s">
        <v>132</v>
      </c>
      <c r="G279" s="12" t="s">
        <v>639</v>
      </c>
      <c r="H279" s="12" t="s">
        <v>508</v>
      </c>
      <c r="I279" s="12" t="s">
        <v>411</v>
      </c>
      <c r="J279" s="12" t="s">
        <v>412</v>
      </c>
      <c r="K279" s="12" t="s">
        <v>413</v>
      </c>
      <c r="L279" s="12" t="s">
        <v>87</v>
      </c>
      <c r="M279" s="11" t="s">
        <v>88</v>
      </c>
    </row>
    <row r="280" customFormat="false" ht="28.35" hidden="false" customHeight="false" outlineLevel="0" collapsed="false">
      <c r="A280" s="11" t="s">
        <v>640</v>
      </c>
      <c r="B280" s="12" t="s">
        <v>48</v>
      </c>
      <c r="C280" s="12" t="s">
        <v>47</v>
      </c>
      <c r="D280" s="12" t="n">
        <v>75</v>
      </c>
      <c r="E280" s="12" t="s">
        <v>633</v>
      </c>
      <c r="F280" s="12" t="s">
        <v>132</v>
      </c>
      <c r="G280" s="12" t="s">
        <v>641</v>
      </c>
      <c r="H280" s="12" t="s">
        <v>508</v>
      </c>
      <c r="I280" s="12" t="s">
        <v>411</v>
      </c>
      <c r="J280" s="12" t="s">
        <v>412</v>
      </c>
      <c r="K280" s="12" t="s">
        <v>413</v>
      </c>
      <c r="L280" s="12" t="s">
        <v>87</v>
      </c>
      <c r="M280" s="11" t="s">
        <v>88</v>
      </c>
    </row>
    <row r="281" customFormat="false" ht="28.35" hidden="false" customHeight="false" outlineLevel="0" collapsed="false">
      <c r="A281" s="11" t="s">
        <v>642</v>
      </c>
      <c r="B281" s="12" t="s">
        <v>48</v>
      </c>
      <c r="C281" s="12" t="s">
        <v>47</v>
      </c>
      <c r="D281" s="12" t="n">
        <v>76</v>
      </c>
      <c r="E281" s="12" t="s">
        <v>633</v>
      </c>
      <c r="F281" s="12" t="s">
        <v>132</v>
      </c>
      <c r="G281" s="12" t="s">
        <v>643</v>
      </c>
      <c r="H281" s="12" t="s">
        <v>508</v>
      </c>
      <c r="I281" s="12" t="s">
        <v>411</v>
      </c>
      <c r="J281" s="12" t="s">
        <v>412</v>
      </c>
      <c r="K281" s="12" t="s">
        <v>413</v>
      </c>
      <c r="L281" s="12" t="s">
        <v>87</v>
      </c>
      <c r="M281" s="11" t="s">
        <v>88</v>
      </c>
    </row>
    <row r="282" customFormat="false" ht="28.35" hidden="false" customHeight="false" outlineLevel="0" collapsed="false">
      <c r="A282" s="11" t="s">
        <v>644</v>
      </c>
      <c r="B282" s="12" t="s">
        <v>48</v>
      </c>
      <c r="C282" s="12" t="s">
        <v>47</v>
      </c>
      <c r="D282" s="12" t="n">
        <v>77</v>
      </c>
      <c r="E282" s="12" t="s">
        <v>633</v>
      </c>
      <c r="F282" s="12" t="s">
        <v>132</v>
      </c>
      <c r="G282" s="12" t="s">
        <v>645</v>
      </c>
      <c r="H282" s="12" t="s">
        <v>508</v>
      </c>
      <c r="I282" s="12" t="s">
        <v>411</v>
      </c>
      <c r="J282" s="12" t="s">
        <v>412</v>
      </c>
      <c r="K282" s="12" t="s">
        <v>413</v>
      </c>
      <c r="L282" s="12" t="s">
        <v>87</v>
      </c>
      <c r="M282" s="11" t="s">
        <v>88</v>
      </c>
    </row>
    <row r="283" customFormat="false" ht="28.35" hidden="false" customHeight="false" outlineLevel="0" collapsed="false">
      <c r="A283" s="11" t="s">
        <v>646</v>
      </c>
      <c r="B283" s="12" t="s">
        <v>48</v>
      </c>
      <c r="C283" s="12" t="s">
        <v>47</v>
      </c>
      <c r="D283" s="12" t="n">
        <v>78</v>
      </c>
      <c r="E283" s="12" t="s">
        <v>633</v>
      </c>
      <c r="F283" s="12" t="s">
        <v>132</v>
      </c>
      <c r="G283" s="12" t="s">
        <v>647</v>
      </c>
      <c r="H283" s="12" t="s">
        <v>508</v>
      </c>
      <c r="I283" s="12" t="s">
        <v>411</v>
      </c>
      <c r="J283" s="12" t="s">
        <v>412</v>
      </c>
      <c r="K283" s="12" t="s">
        <v>413</v>
      </c>
      <c r="L283" s="12" t="s">
        <v>87</v>
      </c>
      <c r="M283" s="11" t="s">
        <v>88</v>
      </c>
    </row>
    <row r="284" customFormat="false" ht="28.35" hidden="false" customHeight="false" outlineLevel="0" collapsed="false">
      <c r="A284" s="11" t="s">
        <v>648</v>
      </c>
      <c r="B284" s="12" t="s">
        <v>48</v>
      </c>
      <c r="C284" s="12" t="s">
        <v>47</v>
      </c>
      <c r="D284" s="12" t="n">
        <v>79</v>
      </c>
      <c r="E284" s="12" t="s">
        <v>633</v>
      </c>
      <c r="F284" s="12" t="s">
        <v>132</v>
      </c>
      <c r="G284" s="12" t="s">
        <v>649</v>
      </c>
      <c r="H284" s="12" t="s">
        <v>508</v>
      </c>
      <c r="I284" s="12" t="s">
        <v>411</v>
      </c>
      <c r="J284" s="12" t="s">
        <v>412</v>
      </c>
      <c r="K284" s="12" t="s">
        <v>413</v>
      </c>
      <c r="L284" s="12" t="s">
        <v>87</v>
      </c>
      <c r="M284" s="11" t="s">
        <v>88</v>
      </c>
    </row>
    <row r="285" customFormat="false" ht="28.35" hidden="false" customHeight="false" outlineLevel="0" collapsed="false">
      <c r="A285" s="11" t="s">
        <v>650</v>
      </c>
      <c r="B285" s="12" t="s">
        <v>48</v>
      </c>
      <c r="C285" s="12" t="s">
        <v>47</v>
      </c>
      <c r="D285" s="12" t="n">
        <v>80</v>
      </c>
      <c r="E285" s="12" t="s">
        <v>633</v>
      </c>
      <c r="F285" s="12" t="s">
        <v>132</v>
      </c>
      <c r="G285" s="12" t="s">
        <v>651</v>
      </c>
      <c r="H285" s="12" t="s">
        <v>508</v>
      </c>
      <c r="I285" s="12" t="s">
        <v>411</v>
      </c>
      <c r="J285" s="12" t="s">
        <v>412</v>
      </c>
      <c r="K285" s="12" t="s">
        <v>413</v>
      </c>
      <c r="L285" s="12" t="s">
        <v>87</v>
      </c>
      <c r="M285" s="11" t="s">
        <v>88</v>
      </c>
    </row>
    <row r="286" customFormat="false" ht="28.35" hidden="false" customHeight="false" outlineLevel="0" collapsed="false">
      <c r="A286" s="11" t="s">
        <v>652</v>
      </c>
      <c r="B286" s="12" t="s">
        <v>48</v>
      </c>
      <c r="C286" s="12" t="s">
        <v>47</v>
      </c>
      <c r="D286" s="12" t="n">
        <v>81</v>
      </c>
      <c r="E286" s="12" t="s">
        <v>633</v>
      </c>
      <c r="F286" s="12" t="s">
        <v>132</v>
      </c>
      <c r="G286" s="12" t="s">
        <v>653</v>
      </c>
      <c r="H286" s="12" t="s">
        <v>508</v>
      </c>
      <c r="I286" s="12" t="s">
        <v>411</v>
      </c>
      <c r="J286" s="12" t="s">
        <v>412</v>
      </c>
      <c r="K286" s="12" t="s">
        <v>413</v>
      </c>
      <c r="L286" s="12" t="s">
        <v>87</v>
      </c>
      <c r="M286" s="11" t="s">
        <v>88</v>
      </c>
    </row>
    <row r="287" customFormat="false" ht="28.35" hidden="false" customHeight="false" outlineLevel="0" collapsed="false">
      <c r="A287" s="11" t="s">
        <v>654</v>
      </c>
      <c r="B287" s="12" t="s">
        <v>48</v>
      </c>
      <c r="C287" s="12" t="s">
        <v>47</v>
      </c>
      <c r="D287" s="12" t="n">
        <v>82</v>
      </c>
      <c r="E287" s="12" t="s">
        <v>633</v>
      </c>
      <c r="F287" s="12" t="s">
        <v>132</v>
      </c>
      <c r="G287" s="12" t="s">
        <v>655</v>
      </c>
      <c r="H287" s="12" t="s">
        <v>508</v>
      </c>
      <c r="I287" s="12" t="s">
        <v>411</v>
      </c>
      <c r="J287" s="12" t="s">
        <v>412</v>
      </c>
      <c r="K287" s="12" t="s">
        <v>413</v>
      </c>
      <c r="L287" s="12" t="s">
        <v>87</v>
      </c>
      <c r="M287" s="11" t="s">
        <v>88</v>
      </c>
    </row>
    <row r="288" customFormat="false" ht="28.35" hidden="false" customHeight="false" outlineLevel="0" collapsed="false">
      <c r="A288" s="11" t="s">
        <v>656</v>
      </c>
      <c r="B288" s="12" t="s">
        <v>48</v>
      </c>
      <c r="C288" s="12" t="s">
        <v>47</v>
      </c>
      <c r="D288" s="12" t="n">
        <v>83</v>
      </c>
      <c r="E288" s="12" t="s">
        <v>633</v>
      </c>
      <c r="F288" s="12" t="s">
        <v>132</v>
      </c>
      <c r="G288" s="12" t="s">
        <v>657</v>
      </c>
      <c r="H288" s="12" t="s">
        <v>508</v>
      </c>
      <c r="I288" s="12" t="s">
        <v>411</v>
      </c>
      <c r="J288" s="12" t="s">
        <v>412</v>
      </c>
      <c r="K288" s="12" t="s">
        <v>413</v>
      </c>
      <c r="L288" s="12" t="s">
        <v>87</v>
      </c>
      <c r="M288" s="11" t="s">
        <v>88</v>
      </c>
    </row>
    <row r="289" customFormat="false" ht="28.35" hidden="false" customHeight="false" outlineLevel="0" collapsed="false">
      <c r="A289" s="11" t="s">
        <v>658</v>
      </c>
      <c r="B289" s="12" t="s">
        <v>48</v>
      </c>
      <c r="C289" s="12" t="s">
        <v>47</v>
      </c>
      <c r="D289" s="12" t="n">
        <v>84</v>
      </c>
      <c r="E289" s="12" t="s">
        <v>633</v>
      </c>
      <c r="F289" s="12" t="s">
        <v>132</v>
      </c>
      <c r="G289" s="12" t="s">
        <v>659</v>
      </c>
      <c r="H289" s="12" t="s">
        <v>508</v>
      </c>
      <c r="I289" s="12" t="s">
        <v>411</v>
      </c>
      <c r="J289" s="12" t="s">
        <v>412</v>
      </c>
      <c r="K289" s="12" t="s">
        <v>413</v>
      </c>
      <c r="L289" s="12" t="s">
        <v>87</v>
      </c>
      <c r="M289" s="11" t="s">
        <v>88</v>
      </c>
    </row>
    <row r="290" customFormat="false" ht="28.35" hidden="false" customHeight="false" outlineLevel="0" collapsed="false">
      <c r="A290" s="11" t="s">
        <v>660</v>
      </c>
      <c r="B290" s="12" t="s">
        <v>48</v>
      </c>
      <c r="C290" s="12" t="s">
        <v>47</v>
      </c>
      <c r="D290" s="12" t="n">
        <v>85</v>
      </c>
      <c r="E290" s="12" t="s">
        <v>633</v>
      </c>
      <c r="F290" s="12" t="s">
        <v>132</v>
      </c>
      <c r="G290" s="12" t="s">
        <v>661</v>
      </c>
      <c r="H290" s="12" t="s">
        <v>508</v>
      </c>
      <c r="I290" s="12" t="s">
        <v>411</v>
      </c>
      <c r="J290" s="12" t="s">
        <v>412</v>
      </c>
      <c r="K290" s="12" t="s">
        <v>413</v>
      </c>
      <c r="L290" s="12" t="s">
        <v>87</v>
      </c>
      <c r="M290" s="11" t="s">
        <v>88</v>
      </c>
    </row>
    <row r="291" customFormat="false" ht="28.35" hidden="false" customHeight="false" outlineLevel="0" collapsed="false">
      <c r="A291" s="11" t="s">
        <v>662</v>
      </c>
      <c r="B291" s="12" t="s">
        <v>48</v>
      </c>
      <c r="C291" s="12" t="s">
        <v>47</v>
      </c>
      <c r="D291" s="12" t="n">
        <v>86</v>
      </c>
      <c r="E291" s="12" t="s">
        <v>633</v>
      </c>
      <c r="F291" s="12" t="s">
        <v>132</v>
      </c>
      <c r="G291" s="12" t="s">
        <v>663</v>
      </c>
      <c r="H291" s="12" t="s">
        <v>508</v>
      </c>
      <c r="I291" s="12" t="s">
        <v>411</v>
      </c>
      <c r="J291" s="12" t="s">
        <v>412</v>
      </c>
      <c r="K291" s="12" t="s">
        <v>413</v>
      </c>
      <c r="L291" s="12" t="s">
        <v>87</v>
      </c>
      <c r="M291" s="11" t="s">
        <v>88</v>
      </c>
    </row>
    <row r="292" customFormat="false" ht="28.35" hidden="false" customHeight="false" outlineLevel="0" collapsed="false">
      <c r="A292" s="11" t="s">
        <v>664</v>
      </c>
      <c r="B292" s="12" t="s">
        <v>48</v>
      </c>
      <c r="C292" s="12" t="s">
        <v>47</v>
      </c>
      <c r="D292" s="12" t="n">
        <v>87</v>
      </c>
      <c r="E292" s="12" t="s">
        <v>447</v>
      </c>
      <c r="F292" s="12" t="s">
        <v>82</v>
      </c>
      <c r="G292" s="12" t="s">
        <v>447</v>
      </c>
      <c r="H292" s="12" t="s">
        <v>508</v>
      </c>
      <c r="I292" s="12" t="s">
        <v>158</v>
      </c>
      <c r="J292" s="12" t="s">
        <v>159</v>
      </c>
      <c r="K292" s="12" t="s">
        <v>19</v>
      </c>
      <c r="L292" s="12" t="s">
        <v>87</v>
      </c>
      <c r="M292" s="11" t="s">
        <v>88</v>
      </c>
    </row>
    <row r="293" customFormat="false" ht="28.35" hidden="false" customHeight="false" outlineLevel="0" collapsed="false">
      <c r="A293" s="11" t="s">
        <v>665</v>
      </c>
      <c r="B293" s="12" t="s">
        <v>48</v>
      </c>
      <c r="C293" s="12" t="s">
        <v>47</v>
      </c>
      <c r="D293" s="12" t="n">
        <v>88</v>
      </c>
      <c r="E293" s="12" t="s">
        <v>666</v>
      </c>
      <c r="F293" s="12" t="s">
        <v>82</v>
      </c>
      <c r="G293" s="12" t="s">
        <v>666</v>
      </c>
      <c r="H293" s="12" t="s">
        <v>508</v>
      </c>
      <c r="I293" s="12" t="s">
        <v>158</v>
      </c>
      <c r="J293" s="12" t="s">
        <v>159</v>
      </c>
      <c r="K293" s="12" t="s">
        <v>19</v>
      </c>
      <c r="L293" s="12" t="s">
        <v>87</v>
      </c>
      <c r="M293" s="11" t="s">
        <v>88</v>
      </c>
    </row>
    <row r="294" customFormat="false" ht="28.35" hidden="false" customHeight="false" outlineLevel="0" collapsed="false">
      <c r="A294" s="11" t="s">
        <v>667</v>
      </c>
      <c r="B294" s="12" t="s">
        <v>48</v>
      </c>
      <c r="C294" s="12" t="s">
        <v>47</v>
      </c>
      <c r="D294" s="12" t="n">
        <v>89</v>
      </c>
      <c r="E294" s="12" t="s">
        <v>666</v>
      </c>
      <c r="F294" s="12" t="s">
        <v>132</v>
      </c>
      <c r="G294" s="12" t="s">
        <v>668</v>
      </c>
      <c r="H294" s="12" t="s">
        <v>508</v>
      </c>
      <c r="I294" s="12" t="s">
        <v>164</v>
      </c>
      <c r="J294" s="12" t="s">
        <v>165</v>
      </c>
      <c r="K294" s="12" t="s">
        <v>16</v>
      </c>
      <c r="L294" s="12" t="s">
        <v>87</v>
      </c>
      <c r="M294" s="11" t="s">
        <v>88</v>
      </c>
    </row>
    <row r="295" customFormat="false" ht="28.35" hidden="false" customHeight="false" outlineLevel="0" collapsed="false">
      <c r="A295" s="11" t="s">
        <v>669</v>
      </c>
      <c r="B295" s="12" t="s">
        <v>48</v>
      </c>
      <c r="C295" s="12" t="s">
        <v>47</v>
      </c>
      <c r="D295" s="12" t="n">
        <v>90</v>
      </c>
      <c r="E295" s="12" t="s">
        <v>666</v>
      </c>
      <c r="F295" s="12" t="s">
        <v>132</v>
      </c>
      <c r="G295" s="12" t="s">
        <v>670</v>
      </c>
      <c r="H295" s="12" t="s">
        <v>508</v>
      </c>
      <c r="I295" s="12" t="s">
        <v>164</v>
      </c>
      <c r="J295" s="12" t="s">
        <v>165</v>
      </c>
      <c r="K295" s="12" t="s">
        <v>16</v>
      </c>
      <c r="L295" s="12" t="s">
        <v>87</v>
      </c>
      <c r="M295" s="11" t="s">
        <v>88</v>
      </c>
    </row>
    <row r="296" customFormat="false" ht="28.35" hidden="false" customHeight="false" outlineLevel="0" collapsed="false">
      <c r="A296" s="11" t="s">
        <v>671</v>
      </c>
      <c r="B296" s="12" t="s">
        <v>48</v>
      </c>
      <c r="C296" s="12" t="s">
        <v>47</v>
      </c>
      <c r="D296" s="12" t="n">
        <v>91</v>
      </c>
      <c r="E296" s="12" t="s">
        <v>666</v>
      </c>
      <c r="F296" s="12" t="s">
        <v>132</v>
      </c>
      <c r="G296" s="12" t="s">
        <v>672</v>
      </c>
      <c r="H296" s="12" t="s">
        <v>508</v>
      </c>
      <c r="I296" s="12" t="s">
        <v>164</v>
      </c>
      <c r="J296" s="12" t="s">
        <v>165</v>
      </c>
      <c r="K296" s="12" t="s">
        <v>16</v>
      </c>
      <c r="L296" s="12" t="s">
        <v>87</v>
      </c>
      <c r="M296" s="11" t="s">
        <v>88</v>
      </c>
    </row>
    <row r="297" customFormat="false" ht="28.35" hidden="false" customHeight="false" outlineLevel="0" collapsed="false">
      <c r="A297" s="11" t="s">
        <v>673</v>
      </c>
      <c r="B297" s="12" t="s">
        <v>48</v>
      </c>
      <c r="C297" s="12" t="s">
        <v>47</v>
      </c>
      <c r="D297" s="12" t="n">
        <v>92</v>
      </c>
      <c r="E297" s="12" t="s">
        <v>666</v>
      </c>
      <c r="F297" s="12" t="s">
        <v>132</v>
      </c>
      <c r="G297" s="12" t="s">
        <v>674</v>
      </c>
      <c r="H297" s="12" t="s">
        <v>508</v>
      </c>
      <c r="I297" s="12" t="s">
        <v>164</v>
      </c>
      <c r="J297" s="12" t="s">
        <v>165</v>
      </c>
      <c r="K297" s="12" t="s">
        <v>16</v>
      </c>
      <c r="L297" s="12" t="s">
        <v>87</v>
      </c>
      <c r="M297" s="11" t="s">
        <v>88</v>
      </c>
    </row>
    <row r="298" customFormat="false" ht="28.35" hidden="false" customHeight="false" outlineLevel="0" collapsed="false">
      <c r="A298" s="11" t="s">
        <v>675</v>
      </c>
      <c r="B298" s="12" t="s">
        <v>48</v>
      </c>
      <c r="C298" s="12" t="s">
        <v>47</v>
      </c>
      <c r="D298" s="12" t="n">
        <v>93</v>
      </c>
      <c r="E298" s="12" t="s">
        <v>666</v>
      </c>
      <c r="F298" s="12" t="s">
        <v>132</v>
      </c>
      <c r="G298" s="12" t="s">
        <v>676</v>
      </c>
      <c r="H298" s="12" t="s">
        <v>508</v>
      </c>
      <c r="I298" s="12" t="s">
        <v>164</v>
      </c>
      <c r="J298" s="12" t="s">
        <v>165</v>
      </c>
      <c r="K298" s="12" t="s">
        <v>16</v>
      </c>
      <c r="L298" s="12" t="s">
        <v>87</v>
      </c>
      <c r="M298" s="11" t="s">
        <v>88</v>
      </c>
    </row>
    <row r="299" customFormat="false" ht="28.35" hidden="false" customHeight="false" outlineLevel="0" collapsed="false">
      <c r="A299" s="11" t="s">
        <v>677</v>
      </c>
      <c r="B299" s="12" t="s">
        <v>48</v>
      </c>
      <c r="C299" s="12" t="s">
        <v>47</v>
      </c>
      <c r="D299" s="12" t="n">
        <v>94</v>
      </c>
      <c r="E299" s="12" t="s">
        <v>666</v>
      </c>
      <c r="F299" s="12" t="s">
        <v>132</v>
      </c>
      <c r="G299" s="12" t="s">
        <v>678</v>
      </c>
      <c r="H299" s="12" t="s">
        <v>508</v>
      </c>
      <c r="I299" s="12" t="s">
        <v>164</v>
      </c>
      <c r="J299" s="12" t="s">
        <v>165</v>
      </c>
      <c r="K299" s="12" t="s">
        <v>16</v>
      </c>
      <c r="L299" s="12" t="s">
        <v>87</v>
      </c>
      <c r="M299" s="11" t="s">
        <v>88</v>
      </c>
    </row>
    <row r="300" customFormat="false" ht="28.35" hidden="false" customHeight="false" outlineLevel="0" collapsed="false">
      <c r="A300" s="11" t="s">
        <v>679</v>
      </c>
      <c r="B300" s="12" t="s">
        <v>48</v>
      </c>
      <c r="C300" s="12" t="s">
        <v>47</v>
      </c>
      <c r="D300" s="12" t="n">
        <v>95</v>
      </c>
      <c r="E300" s="12" t="s">
        <v>666</v>
      </c>
      <c r="F300" s="12" t="s">
        <v>132</v>
      </c>
      <c r="G300" s="12" t="s">
        <v>680</v>
      </c>
      <c r="H300" s="12" t="s">
        <v>508</v>
      </c>
      <c r="I300" s="12" t="s">
        <v>164</v>
      </c>
      <c r="J300" s="12" t="s">
        <v>165</v>
      </c>
      <c r="K300" s="12" t="s">
        <v>16</v>
      </c>
      <c r="L300" s="12" t="s">
        <v>87</v>
      </c>
      <c r="M300" s="11" t="s">
        <v>88</v>
      </c>
    </row>
    <row r="301" customFormat="false" ht="28.35" hidden="false" customHeight="false" outlineLevel="0" collapsed="false">
      <c r="A301" s="11" t="s">
        <v>681</v>
      </c>
      <c r="B301" s="12" t="s">
        <v>48</v>
      </c>
      <c r="C301" s="12" t="s">
        <v>47</v>
      </c>
      <c r="D301" s="12" t="n">
        <v>96</v>
      </c>
      <c r="E301" s="12" t="s">
        <v>666</v>
      </c>
      <c r="F301" s="12" t="s">
        <v>132</v>
      </c>
      <c r="G301" s="12" t="s">
        <v>682</v>
      </c>
      <c r="H301" s="12" t="s">
        <v>508</v>
      </c>
      <c r="I301" s="12" t="s">
        <v>164</v>
      </c>
      <c r="J301" s="12" t="s">
        <v>165</v>
      </c>
      <c r="K301" s="12" t="s">
        <v>16</v>
      </c>
      <c r="L301" s="12" t="s">
        <v>87</v>
      </c>
      <c r="M301" s="11" t="s">
        <v>88</v>
      </c>
    </row>
    <row r="302" customFormat="false" ht="28.35" hidden="false" customHeight="false" outlineLevel="0" collapsed="false">
      <c r="A302" s="11" t="s">
        <v>683</v>
      </c>
      <c r="B302" s="12" t="s">
        <v>48</v>
      </c>
      <c r="C302" s="12" t="s">
        <v>47</v>
      </c>
      <c r="D302" s="12" t="n">
        <v>97</v>
      </c>
      <c r="E302" s="12" t="s">
        <v>666</v>
      </c>
      <c r="F302" s="12" t="s">
        <v>132</v>
      </c>
      <c r="G302" s="12" t="s">
        <v>684</v>
      </c>
      <c r="H302" s="12" t="s">
        <v>508</v>
      </c>
      <c r="I302" s="12" t="s">
        <v>164</v>
      </c>
      <c r="J302" s="12" t="s">
        <v>165</v>
      </c>
      <c r="K302" s="12" t="s">
        <v>16</v>
      </c>
      <c r="L302" s="12" t="s">
        <v>87</v>
      </c>
      <c r="M302" s="11" t="s">
        <v>88</v>
      </c>
    </row>
    <row r="303" customFormat="false" ht="28.35" hidden="false" customHeight="false" outlineLevel="0" collapsed="false">
      <c r="A303" s="11" t="s">
        <v>685</v>
      </c>
      <c r="B303" s="12" t="s">
        <v>48</v>
      </c>
      <c r="C303" s="12" t="s">
        <v>47</v>
      </c>
      <c r="D303" s="12" t="n">
        <v>98</v>
      </c>
      <c r="E303" s="12" t="s">
        <v>666</v>
      </c>
      <c r="F303" s="12" t="s">
        <v>132</v>
      </c>
      <c r="G303" s="12" t="s">
        <v>686</v>
      </c>
      <c r="H303" s="12" t="s">
        <v>508</v>
      </c>
      <c r="I303" s="12" t="s">
        <v>164</v>
      </c>
      <c r="J303" s="12" t="s">
        <v>165</v>
      </c>
      <c r="K303" s="12" t="s">
        <v>16</v>
      </c>
      <c r="L303" s="12" t="s">
        <v>87</v>
      </c>
      <c r="M303" s="11" t="s">
        <v>88</v>
      </c>
    </row>
    <row r="304" customFormat="false" ht="28.35" hidden="false" customHeight="false" outlineLevel="0" collapsed="false">
      <c r="A304" s="11" t="s">
        <v>687</v>
      </c>
      <c r="B304" s="12" t="s">
        <v>48</v>
      </c>
      <c r="C304" s="12" t="s">
        <v>47</v>
      </c>
      <c r="D304" s="12" t="n">
        <v>99</v>
      </c>
      <c r="E304" s="12" t="s">
        <v>666</v>
      </c>
      <c r="F304" s="12" t="s">
        <v>132</v>
      </c>
      <c r="G304" s="12" t="s">
        <v>457</v>
      </c>
      <c r="H304" s="12" t="s">
        <v>508</v>
      </c>
      <c r="I304" s="12" t="s">
        <v>164</v>
      </c>
      <c r="J304" s="12" t="s">
        <v>165</v>
      </c>
      <c r="K304" s="12" t="s">
        <v>16</v>
      </c>
      <c r="L304" s="12" t="s">
        <v>87</v>
      </c>
      <c r="M304" s="11" t="s">
        <v>88</v>
      </c>
    </row>
    <row r="305" customFormat="false" ht="28.35" hidden="false" customHeight="false" outlineLevel="0" collapsed="false">
      <c r="A305" s="11" t="s">
        <v>688</v>
      </c>
      <c r="B305" s="12" t="s">
        <v>48</v>
      </c>
      <c r="C305" s="12" t="s">
        <v>47</v>
      </c>
      <c r="D305" s="12" t="n">
        <v>100</v>
      </c>
      <c r="E305" s="12" t="s">
        <v>666</v>
      </c>
      <c r="F305" s="12" t="s">
        <v>98</v>
      </c>
      <c r="G305" s="12" t="s">
        <v>459</v>
      </c>
      <c r="H305" s="12" t="s">
        <v>508</v>
      </c>
      <c r="I305" s="12" t="s">
        <v>175</v>
      </c>
      <c r="J305" s="12" t="s">
        <v>176</v>
      </c>
      <c r="K305" s="12" t="s">
        <v>22</v>
      </c>
      <c r="L305" s="12" t="s">
        <v>96</v>
      </c>
      <c r="M305" s="11" t="s">
        <v>88</v>
      </c>
    </row>
    <row r="306" customFormat="false" ht="28.35" hidden="false" customHeight="false" outlineLevel="0" collapsed="false">
      <c r="A306" s="11" t="s">
        <v>689</v>
      </c>
      <c r="B306" s="12" t="s">
        <v>48</v>
      </c>
      <c r="C306" s="12" t="s">
        <v>47</v>
      </c>
      <c r="D306" s="12" t="n">
        <v>101</v>
      </c>
      <c r="E306" s="12" t="s">
        <v>666</v>
      </c>
      <c r="F306" s="12" t="s">
        <v>98</v>
      </c>
      <c r="G306" s="12" t="s">
        <v>690</v>
      </c>
      <c r="H306" s="12" t="s">
        <v>508</v>
      </c>
      <c r="I306" s="12" t="s">
        <v>175</v>
      </c>
      <c r="J306" s="12" t="s">
        <v>176</v>
      </c>
      <c r="K306" s="12" t="s">
        <v>22</v>
      </c>
      <c r="L306" s="12" t="s">
        <v>96</v>
      </c>
      <c r="M306" s="11" t="s">
        <v>88</v>
      </c>
    </row>
    <row r="307" customFormat="false" ht="28.35" hidden="false" customHeight="false" outlineLevel="0" collapsed="false">
      <c r="A307" s="11" t="s">
        <v>691</v>
      </c>
      <c r="B307" s="12" t="s">
        <v>48</v>
      </c>
      <c r="C307" s="12" t="s">
        <v>47</v>
      </c>
      <c r="D307" s="12" t="n">
        <v>102</v>
      </c>
      <c r="E307" s="12" t="s">
        <v>666</v>
      </c>
      <c r="F307" s="12" t="s">
        <v>98</v>
      </c>
      <c r="G307" s="12" t="s">
        <v>692</v>
      </c>
      <c r="H307" s="12" t="s">
        <v>508</v>
      </c>
      <c r="I307" s="12" t="s">
        <v>175</v>
      </c>
      <c r="J307" s="12" t="s">
        <v>176</v>
      </c>
      <c r="K307" s="12" t="s">
        <v>22</v>
      </c>
      <c r="L307" s="12" t="s">
        <v>96</v>
      </c>
      <c r="M307" s="11" t="s">
        <v>88</v>
      </c>
    </row>
    <row r="308" customFormat="false" ht="28.35" hidden="false" customHeight="false" outlineLevel="0" collapsed="false">
      <c r="A308" s="11" t="s">
        <v>693</v>
      </c>
      <c r="B308" s="12" t="s">
        <v>48</v>
      </c>
      <c r="C308" s="12" t="s">
        <v>47</v>
      </c>
      <c r="D308" s="12" t="n">
        <v>103</v>
      </c>
      <c r="E308" s="12" t="s">
        <v>666</v>
      </c>
      <c r="F308" s="12" t="s">
        <v>98</v>
      </c>
      <c r="G308" s="12" t="s">
        <v>694</v>
      </c>
      <c r="H308" s="12" t="s">
        <v>508</v>
      </c>
      <c r="I308" s="12" t="s">
        <v>175</v>
      </c>
      <c r="J308" s="12" t="s">
        <v>176</v>
      </c>
      <c r="K308" s="12" t="s">
        <v>22</v>
      </c>
      <c r="L308" s="12" t="s">
        <v>96</v>
      </c>
      <c r="M308" s="11" t="s">
        <v>88</v>
      </c>
    </row>
    <row r="309" customFormat="false" ht="28.35" hidden="false" customHeight="false" outlineLevel="0" collapsed="false">
      <c r="A309" s="11" t="s">
        <v>695</v>
      </c>
      <c r="B309" s="12" t="s">
        <v>48</v>
      </c>
      <c r="C309" s="12" t="s">
        <v>47</v>
      </c>
      <c r="D309" s="12" t="n">
        <v>104</v>
      </c>
      <c r="E309" s="12" t="s">
        <v>467</v>
      </c>
      <c r="F309" s="12" t="s">
        <v>82</v>
      </c>
      <c r="G309" s="12" t="s">
        <v>467</v>
      </c>
      <c r="H309" s="12" t="s">
        <v>508</v>
      </c>
      <c r="I309" s="12" t="s">
        <v>158</v>
      </c>
      <c r="J309" s="12" t="s">
        <v>159</v>
      </c>
      <c r="K309" s="12" t="s">
        <v>19</v>
      </c>
      <c r="L309" s="12" t="s">
        <v>87</v>
      </c>
      <c r="M309" s="11" t="s">
        <v>88</v>
      </c>
    </row>
    <row r="310" customFormat="false" ht="28.35" hidden="false" customHeight="false" outlineLevel="0" collapsed="false">
      <c r="A310" s="11" t="s">
        <v>696</v>
      </c>
      <c r="B310" s="12" t="s">
        <v>48</v>
      </c>
      <c r="C310" s="12" t="s">
        <v>47</v>
      </c>
      <c r="D310" s="12" t="n">
        <v>105</v>
      </c>
      <c r="E310" s="12" t="s">
        <v>467</v>
      </c>
      <c r="F310" s="12" t="s">
        <v>132</v>
      </c>
      <c r="G310" s="12" t="s">
        <v>697</v>
      </c>
      <c r="H310" s="12" t="s">
        <v>508</v>
      </c>
      <c r="I310" s="12" t="s">
        <v>164</v>
      </c>
      <c r="J310" s="12" t="s">
        <v>165</v>
      </c>
      <c r="K310" s="12" t="s">
        <v>16</v>
      </c>
      <c r="L310" s="12" t="s">
        <v>87</v>
      </c>
      <c r="M310" s="11" t="s">
        <v>88</v>
      </c>
    </row>
    <row r="311" customFormat="false" ht="28.35" hidden="false" customHeight="false" outlineLevel="0" collapsed="false">
      <c r="A311" s="11" t="s">
        <v>698</v>
      </c>
      <c r="B311" s="12" t="s">
        <v>48</v>
      </c>
      <c r="C311" s="12" t="s">
        <v>47</v>
      </c>
      <c r="D311" s="12" t="n">
        <v>106</v>
      </c>
      <c r="E311" s="12" t="s">
        <v>467</v>
      </c>
      <c r="F311" s="12" t="s">
        <v>132</v>
      </c>
      <c r="G311" s="12" t="s">
        <v>699</v>
      </c>
      <c r="H311" s="12" t="s">
        <v>508</v>
      </c>
      <c r="I311" s="12" t="s">
        <v>164</v>
      </c>
      <c r="J311" s="12" t="s">
        <v>165</v>
      </c>
      <c r="K311" s="12" t="s">
        <v>16</v>
      </c>
      <c r="L311" s="12" t="s">
        <v>87</v>
      </c>
      <c r="M311" s="11" t="s">
        <v>88</v>
      </c>
    </row>
    <row r="312" customFormat="false" ht="28.35" hidden="false" customHeight="false" outlineLevel="0" collapsed="false">
      <c r="A312" s="11" t="s">
        <v>700</v>
      </c>
      <c r="B312" s="12" t="s">
        <v>48</v>
      </c>
      <c r="C312" s="12" t="s">
        <v>47</v>
      </c>
      <c r="D312" s="12" t="n">
        <v>107</v>
      </c>
      <c r="E312" s="12" t="s">
        <v>467</v>
      </c>
      <c r="F312" s="12" t="s">
        <v>132</v>
      </c>
      <c r="G312" s="12" t="s">
        <v>701</v>
      </c>
      <c r="H312" s="12" t="s">
        <v>508</v>
      </c>
      <c r="I312" s="12" t="s">
        <v>164</v>
      </c>
      <c r="J312" s="12" t="s">
        <v>165</v>
      </c>
      <c r="K312" s="12" t="s">
        <v>16</v>
      </c>
      <c r="L312" s="12" t="s">
        <v>87</v>
      </c>
      <c r="M312" s="11" t="s">
        <v>88</v>
      </c>
    </row>
    <row r="313" customFormat="false" ht="28.35" hidden="false" customHeight="false" outlineLevel="0" collapsed="false">
      <c r="A313" s="11" t="s">
        <v>702</v>
      </c>
      <c r="B313" s="12" t="s">
        <v>48</v>
      </c>
      <c r="C313" s="12" t="s">
        <v>47</v>
      </c>
      <c r="D313" s="12" t="n">
        <v>108</v>
      </c>
      <c r="E313" s="12" t="s">
        <v>467</v>
      </c>
      <c r="F313" s="12" t="s">
        <v>132</v>
      </c>
      <c r="G313" s="12" t="s">
        <v>703</v>
      </c>
      <c r="H313" s="12" t="s">
        <v>508</v>
      </c>
      <c r="I313" s="12" t="s">
        <v>164</v>
      </c>
      <c r="J313" s="12" t="s">
        <v>165</v>
      </c>
      <c r="K313" s="12" t="s">
        <v>16</v>
      </c>
      <c r="L313" s="12" t="s">
        <v>87</v>
      </c>
      <c r="M313" s="11" t="s">
        <v>88</v>
      </c>
    </row>
    <row r="314" customFormat="false" ht="28.35" hidden="false" customHeight="false" outlineLevel="0" collapsed="false">
      <c r="A314" s="11" t="s">
        <v>704</v>
      </c>
      <c r="B314" s="12" t="s">
        <v>48</v>
      </c>
      <c r="C314" s="12" t="s">
        <v>47</v>
      </c>
      <c r="D314" s="12" t="n">
        <v>109</v>
      </c>
      <c r="E314" s="12" t="s">
        <v>705</v>
      </c>
      <c r="F314" s="12" t="s">
        <v>82</v>
      </c>
      <c r="G314" s="12" t="s">
        <v>705</v>
      </c>
      <c r="H314" s="12" t="s">
        <v>508</v>
      </c>
      <c r="I314" s="12" t="s">
        <v>478</v>
      </c>
      <c r="J314" s="12" t="s">
        <v>479</v>
      </c>
      <c r="K314" s="12" t="s">
        <v>28</v>
      </c>
      <c r="L314" s="12" t="s">
        <v>96</v>
      </c>
      <c r="M314" s="11" t="s">
        <v>88</v>
      </c>
    </row>
    <row r="315" customFormat="false" ht="41.75" hidden="false" customHeight="false" outlineLevel="0" collapsed="false">
      <c r="A315" s="11" t="s">
        <v>706</v>
      </c>
      <c r="B315" s="12" t="s">
        <v>48</v>
      </c>
      <c r="C315" s="12" t="s">
        <v>47</v>
      </c>
      <c r="D315" s="12" t="n">
        <v>110</v>
      </c>
      <c r="E315" s="12" t="s">
        <v>705</v>
      </c>
      <c r="F315" s="12" t="s">
        <v>132</v>
      </c>
      <c r="G315" s="12" t="s">
        <v>707</v>
      </c>
      <c r="H315" s="12" t="s">
        <v>508</v>
      </c>
      <c r="I315" s="12" t="s">
        <v>478</v>
      </c>
      <c r="J315" s="12" t="s">
        <v>479</v>
      </c>
      <c r="K315" s="12" t="s">
        <v>28</v>
      </c>
      <c r="L315" s="12" t="s">
        <v>96</v>
      </c>
      <c r="M315" s="11" t="s">
        <v>88</v>
      </c>
    </row>
    <row r="316" customFormat="false" ht="41.75" hidden="false" customHeight="false" outlineLevel="0" collapsed="false">
      <c r="A316" s="11" t="s">
        <v>708</v>
      </c>
      <c r="B316" s="12" t="s">
        <v>48</v>
      </c>
      <c r="C316" s="12" t="s">
        <v>47</v>
      </c>
      <c r="D316" s="12" t="n">
        <v>111</v>
      </c>
      <c r="E316" s="12" t="s">
        <v>705</v>
      </c>
      <c r="F316" s="12" t="s">
        <v>132</v>
      </c>
      <c r="G316" s="12" t="s">
        <v>709</v>
      </c>
      <c r="H316" s="12" t="s">
        <v>508</v>
      </c>
      <c r="I316" s="12" t="s">
        <v>478</v>
      </c>
      <c r="J316" s="12" t="s">
        <v>479</v>
      </c>
      <c r="K316" s="12" t="s">
        <v>28</v>
      </c>
      <c r="L316" s="12" t="s">
        <v>96</v>
      </c>
      <c r="M316" s="11" t="s">
        <v>88</v>
      </c>
    </row>
    <row r="317" customFormat="false" ht="41.75" hidden="false" customHeight="false" outlineLevel="0" collapsed="false">
      <c r="A317" s="11" t="s">
        <v>710</v>
      </c>
      <c r="B317" s="12" t="s">
        <v>48</v>
      </c>
      <c r="C317" s="12" t="s">
        <v>47</v>
      </c>
      <c r="D317" s="12" t="n">
        <v>112</v>
      </c>
      <c r="E317" s="12" t="s">
        <v>705</v>
      </c>
      <c r="F317" s="12" t="s">
        <v>132</v>
      </c>
      <c r="G317" s="12" t="s">
        <v>711</v>
      </c>
      <c r="H317" s="12" t="s">
        <v>508</v>
      </c>
      <c r="I317" s="12" t="s">
        <v>478</v>
      </c>
      <c r="J317" s="12" t="s">
        <v>479</v>
      </c>
      <c r="K317" s="12" t="s">
        <v>28</v>
      </c>
      <c r="L317" s="12" t="s">
        <v>96</v>
      </c>
      <c r="M317" s="11" t="s">
        <v>88</v>
      </c>
    </row>
    <row r="318" customFormat="false" ht="41.75" hidden="false" customHeight="false" outlineLevel="0" collapsed="false">
      <c r="A318" s="11" t="s">
        <v>712</v>
      </c>
      <c r="B318" s="12" t="s">
        <v>48</v>
      </c>
      <c r="C318" s="12" t="s">
        <v>47</v>
      </c>
      <c r="D318" s="12" t="n">
        <v>113</v>
      </c>
      <c r="E318" s="12" t="s">
        <v>705</v>
      </c>
      <c r="F318" s="12" t="s">
        <v>132</v>
      </c>
      <c r="G318" s="12" t="s">
        <v>713</v>
      </c>
      <c r="H318" s="12" t="s">
        <v>508</v>
      </c>
      <c r="I318" s="12" t="s">
        <v>478</v>
      </c>
      <c r="J318" s="12" t="s">
        <v>479</v>
      </c>
      <c r="K318" s="12" t="s">
        <v>28</v>
      </c>
      <c r="L318" s="12" t="s">
        <v>96</v>
      </c>
      <c r="M318" s="11" t="s">
        <v>88</v>
      </c>
    </row>
    <row r="319" customFormat="false" ht="41.75" hidden="false" customHeight="false" outlineLevel="0" collapsed="false">
      <c r="A319" s="11" t="s">
        <v>714</v>
      </c>
      <c r="B319" s="12" t="s">
        <v>48</v>
      </c>
      <c r="C319" s="12" t="s">
        <v>47</v>
      </c>
      <c r="D319" s="12" t="n">
        <v>114</v>
      </c>
      <c r="E319" s="12" t="s">
        <v>705</v>
      </c>
      <c r="F319" s="12" t="s">
        <v>132</v>
      </c>
      <c r="G319" s="12" t="s">
        <v>715</v>
      </c>
      <c r="H319" s="12" t="s">
        <v>508</v>
      </c>
      <c r="I319" s="12" t="s">
        <v>478</v>
      </c>
      <c r="J319" s="12" t="s">
        <v>479</v>
      </c>
      <c r="K319" s="12" t="s">
        <v>28</v>
      </c>
      <c r="L319" s="12" t="s">
        <v>96</v>
      </c>
      <c r="M319" s="11" t="s">
        <v>88</v>
      </c>
    </row>
    <row r="320" customFormat="false" ht="28.35" hidden="false" customHeight="false" outlineLevel="0" collapsed="false">
      <c r="A320" s="11" t="s">
        <v>716</v>
      </c>
      <c r="B320" s="12" t="s">
        <v>48</v>
      </c>
      <c r="C320" s="12" t="s">
        <v>47</v>
      </c>
      <c r="D320" s="12" t="n">
        <v>115</v>
      </c>
      <c r="E320" s="12" t="s">
        <v>705</v>
      </c>
      <c r="F320" s="12" t="s">
        <v>98</v>
      </c>
      <c r="G320" s="12" t="s">
        <v>491</v>
      </c>
      <c r="H320" s="12" t="s">
        <v>508</v>
      </c>
      <c r="I320" s="12" t="s">
        <v>478</v>
      </c>
      <c r="J320" s="12" t="s">
        <v>479</v>
      </c>
      <c r="K320" s="12" t="s">
        <v>28</v>
      </c>
      <c r="L320" s="12" t="s">
        <v>96</v>
      </c>
      <c r="M320" s="11" t="s">
        <v>88</v>
      </c>
    </row>
    <row r="321" customFormat="false" ht="41.75" hidden="false" customHeight="false" outlineLevel="0" collapsed="false">
      <c r="A321" s="11" t="s">
        <v>717</v>
      </c>
      <c r="B321" s="12" t="s">
        <v>48</v>
      </c>
      <c r="C321" s="12" t="s">
        <v>47</v>
      </c>
      <c r="D321" s="12" t="n">
        <v>116</v>
      </c>
      <c r="E321" s="12" t="s">
        <v>705</v>
      </c>
      <c r="F321" s="12" t="s">
        <v>132</v>
      </c>
      <c r="G321" s="12" t="s">
        <v>718</v>
      </c>
      <c r="H321" s="12" t="s">
        <v>508</v>
      </c>
      <c r="I321" s="12" t="s">
        <v>478</v>
      </c>
      <c r="J321" s="12" t="s">
        <v>479</v>
      </c>
      <c r="K321" s="12" t="s">
        <v>28</v>
      </c>
      <c r="L321" s="12" t="s">
        <v>96</v>
      </c>
      <c r="M321" s="11" t="s">
        <v>88</v>
      </c>
    </row>
    <row r="322" customFormat="false" ht="28.35" hidden="false" customHeight="false" outlineLevel="0" collapsed="false">
      <c r="A322" s="11" t="s">
        <v>719</v>
      </c>
      <c r="B322" s="12" t="s">
        <v>48</v>
      </c>
      <c r="C322" s="12" t="s">
        <v>47</v>
      </c>
      <c r="D322" s="12" t="n">
        <v>117</v>
      </c>
      <c r="E322" s="12" t="s">
        <v>705</v>
      </c>
      <c r="F322" s="12" t="s">
        <v>132</v>
      </c>
      <c r="G322" s="12" t="s">
        <v>720</v>
      </c>
      <c r="H322" s="12" t="s">
        <v>508</v>
      </c>
      <c r="I322" s="12" t="s">
        <v>478</v>
      </c>
      <c r="J322" s="12" t="s">
        <v>479</v>
      </c>
      <c r="K322" s="12" t="s">
        <v>28</v>
      </c>
      <c r="L322" s="12" t="s">
        <v>96</v>
      </c>
      <c r="M322" s="11" t="s">
        <v>88</v>
      </c>
    </row>
    <row r="323" customFormat="false" ht="28.35" hidden="false" customHeight="false" outlineLevel="0" collapsed="false">
      <c r="A323" s="11" t="s">
        <v>721</v>
      </c>
      <c r="B323" s="12" t="s">
        <v>48</v>
      </c>
      <c r="C323" s="12" t="s">
        <v>47</v>
      </c>
      <c r="D323" s="12" t="n">
        <v>118</v>
      </c>
      <c r="E323" s="12" t="s">
        <v>705</v>
      </c>
      <c r="F323" s="12" t="s">
        <v>132</v>
      </c>
      <c r="G323" s="12" t="s">
        <v>722</v>
      </c>
      <c r="H323" s="12" t="s">
        <v>508</v>
      </c>
      <c r="I323" s="12" t="s">
        <v>478</v>
      </c>
      <c r="J323" s="12" t="s">
        <v>479</v>
      </c>
      <c r="K323" s="12" t="s">
        <v>28</v>
      </c>
      <c r="L323" s="12" t="s">
        <v>96</v>
      </c>
      <c r="M323" s="11" t="s">
        <v>88</v>
      </c>
    </row>
    <row r="324" customFormat="false" ht="28.35" hidden="false" customHeight="false" outlineLevel="0" collapsed="false">
      <c r="A324" s="11" t="s">
        <v>723</v>
      </c>
      <c r="B324" s="12" t="s">
        <v>48</v>
      </c>
      <c r="C324" s="12" t="s">
        <v>47</v>
      </c>
      <c r="D324" s="12" t="n">
        <v>119</v>
      </c>
      <c r="E324" s="12" t="s">
        <v>705</v>
      </c>
      <c r="F324" s="12" t="s">
        <v>132</v>
      </c>
      <c r="G324" s="12" t="s">
        <v>724</v>
      </c>
      <c r="H324" s="12" t="s">
        <v>508</v>
      </c>
      <c r="I324" s="12" t="s">
        <v>478</v>
      </c>
      <c r="J324" s="12" t="s">
        <v>479</v>
      </c>
      <c r="K324" s="12" t="s">
        <v>28</v>
      </c>
      <c r="L324" s="12" t="s">
        <v>96</v>
      </c>
      <c r="M324" s="11" t="s">
        <v>88</v>
      </c>
    </row>
    <row r="325" customFormat="false" ht="28.35" hidden="false" customHeight="false" outlineLevel="0" collapsed="false">
      <c r="A325" s="11" t="s">
        <v>725</v>
      </c>
      <c r="B325" s="12" t="s">
        <v>48</v>
      </c>
      <c r="C325" s="12" t="s">
        <v>47</v>
      </c>
      <c r="D325" s="12" t="n">
        <v>120</v>
      </c>
      <c r="E325" s="12" t="s">
        <v>705</v>
      </c>
      <c r="F325" s="12" t="s">
        <v>132</v>
      </c>
      <c r="G325" s="12" t="s">
        <v>726</v>
      </c>
      <c r="H325" s="12" t="s">
        <v>508</v>
      </c>
      <c r="I325" s="12" t="s">
        <v>478</v>
      </c>
      <c r="J325" s="12" t="s">
        <v>479</v>
      </c>
      <c r="K325" s="12" t="s">
        <v>28</v>
      </c>
      <c r="L325" s="12" t="s">
        <v>96</v>
      </c>
      <c r="M325" s="11" t="s">
        <v>88</v>
      </c>
    </row>
    <row r="326" customFormat="false" ht="28.35" hidden="false" customHeight="false" outlineLevel="0" collapsed="false">
      <c r="A326" s="11" t="s">
        <v>727</v>
      </c>
      <c r="B326" s="12" t="s">
        <v>48</v>
      </c>
      <c r="C326" s="12" t="s">
        <v>47</v>
      </c>
      <c r="D326" s="12" t="n">
        <v>121</v>
      </c>
      <c r="E326" s="12" t="s">
        <v>705</v>
      </c>
      <c r="F326" s="12" t="s">
        <v>132</v>
      </c>
      <c r="G326" s="12" t="s">
        <v>728</v>
      </c>
      <c r="H326" s="12" t="s">
        <v>508</v>
      </c>
      <c r="I326" s="12" t="s">
        <v>478</v>
      </c>
      <c r="J326" s="12" t="s">
        <v>479</v>
      </c>
      <c r="K326" s="12" t="s">
        <v>28</v>
      </c>
      <c r="L326" s="12" t="s">
        <v>96</v>
      </c>
      <c r="M326" s="11" t="s">
        <v>88</v>
      </c>
    </row>
    <row r="327" customFormat="false" ht="28.35" hidden="false" customHeight="false" outlineLevel="0" collapsed="false">
      <c r="A327" s="11" t="s">
        <v>729</v>
      </c>
      <c r="B327" s="12" t="s">
        <v>50</v>
      </c>
      <c r="C327" s="12" t="s">
        <v>49</v>
      </c>
      <c r="D327" s="12" t="n">
        <v>1</v>
      </c>
      <c r="E327" s="12" t="s">
        <v>730</v>
      </c>
      <c r="F327" s="12" t="s">
        <v>82</v>
      </c>
      <c r="G327" s="12" t="s">
        <v>730</v>
      </c>
      <c r="H327" s="12" t="s">
        <v>731</v>
      </c>
      <c r="I327" s="12" t="s">
        <v>158</v>
      </c>
      <c r="J327" s="12" t="s">
        <v>159</v>
      </c>
      <c r="K327" s="12" t="s">
        <v>19</v>
      </c>
      <c r="L327" s="12" t="s">
        <v>87</v>
      </c>
      <c r="M327" s="11" t="s">
        <v>88</v>
      </c>
    </row>
    <row r="328" customFormat="false" ht="28.35" hidden="false" customHeight="false" outlineLevel="0" collapsed="false">
      <c r="A328" s="11" t="s">
        <v>732</v>
      </c>
      <c r="B328" s="12" t="s">
        <v>50</v>
      </c>
      <c r="C328" s="12" t="s">
        <v>49</v>
      </c>
      <c r="D328" s="12" t="n">
        <v>2</v>
      </c>
      <c r="E328" s="12" t="s">
        <v>733</v>
      </c>
      <c r="F328" s="12" t="s">
        <v>82</v>
      </c>
      <c r="G328" s="12" t="s">
        <v>733</v>
      </c>
      <c r="H328" s="12" t="s">
        <v>731</v>
      </c>
      <c r="I328" s="12" t="s">
        <v>158</v>
      </c>
      <c r="J328" s="12" t="s">
        <v>159</v>
      </c>
      <c r="K328" s="12" t="s">
        <v>19</v>
      </c>
      <c r="L328" s="12" t="s">
        <v>87</v>
      </c>
      <c r="M328" s="11" t="s">
        <v>88</v>
      </c>
    </row>
    <row r="329" customFormat="false" ht="28.35" hidden="false" customHeight="false" outlineLevel="0" collapsed="false">
      <c r="A329" s="11" t="s">
        <v>734</v>
      </c>
      <c r="B329" s="12" t="s">
        <v>50</v>
      </c>
      <c r="C329" s="12" t="s">
        <v>49</v>
      </c>
      <c r="D329" s="12" t="n">
        <v>3</v>
      </c>
      <c r="E329" s="12" t="s">
        <v>92</v>
      </c>
      <c r="F329" s="12" t="s">
        <v>82</v>
      </c>
      <c r="G329" s="12" t="s">
        <v>92</v>
      </c>
      <c r="H329" s="12" t="s">
        <v>731</v>
      </c>
      <c r="I329" s="12" t="s">
        <v>93</v>
      </c>
      <c r="J329" s="12" t="s">
        <v>94</v>
      </c>
      <c r="K329" s="12" t="s">
        <v>95</v>
      </c>
      <c r="L329" s="12" t="s">
        <v>96</v>
      </c>
      <c r="M329" s="11" t="s">
        <v>88</v>
      </c>
    </row>
    <row r="330" customFormat="false" ht="28.35" hidden="false" customHeight="false" outlineLevel="0" collapsed="false">
      <c r="A330" s="11" t="s">
        <v>735</v>
      </c>
      <c r="B330" s="12" t="s">
        <v>50</v>
      </c>
      <c r="C330" s="12" t="s">
        <v>49</v>
      </c>
      <c r="D330" s="12" t="n">
        <v>4</v>
      </c>
      <c r="E330" s="12" t="s">
        <v>92</v>
      </c>
      <c r="F330" s="12" t="s">
        <v>98</v>
      </c>
      <c r="G330" s="12" t="s">
        <v>99</v>
      </c>
      <c r="H330" s="12" t="s">
        <v>731</v>
      </c>
      <c r="I330" s="12" t="s">
        <v>93</v>
      </c>
      <c r="J330" s="12" t="s">
        <v>94</v>
      </c>
      <c r="K330" s="12" t="s">
        <v>95</v>
      </c>
      <c r="L330" s="12" t="s">
        <v>96</v>
      </c>
      <c r="M330" s="11" t="s">
        <v>88</v>
      </c>
    </row>
    <row r="331" customFormat="false" ht="28.35" hidden="false" customHeight="false" outlineLevel="0" collapsed="false">
      <c r="A331" s="11" t="s">
        <v>736</v>
      </c>
      <c r="B331" s="12" t="s">
        <v>50</v>
      </c>
      <c r="C331" s="12" t="s">
        <v>49</v>
      </c>
      <c r="D331" s="12" t="n">
        <v>5</v>
      </c>
      <c r="E331" s="12" t="s">
        <v>92</v>
      </c>
      <c r="F331" s="12" t="s">
        <v>98</v>
      </c>
      <c r="G331" s="12" t="s">
        <v>737</v>
      </c>
      <c r="H331" s="12" t="s">
        <v>731</v>
      </c>
      <c r="I331" s="12" t="s">
        <v>93</v>
      </c>
      <c r="J331" s="12" t="s">
        <v>94</v>
      </c>
      <c r="K331" s="12" t="s">
        <v>95</v>
      </c>
      <c r="L331" s="12" t="s">
        <v>96</v>
      </c>
      <c r="M331" s="11" t="s">
        <v>88</v>
      </c>
    </row>
    <row r="332" customFormat="false" ht="28.35" hidden="false" customHeight="false" outlineLevel="0" collapsed="false">
      <c r="A332" s="11" t="s">
        <v>738</v>
      </c>
      <c r="B332" s="12" t="s">
        <v>50</v>
      </c>
      <c r="C332" s="12" t="s">
        <v>49</v>
      </c>
      <c r="D332" s="12" t="n">
        <v>6</v>
      </c>
      <c r="E332" s="12" t="s">
        <v>92</v>
      </c>
      <c r="F332" s="12" t="s">
        <v>98</v>
      </c>
      <c r="G332" s="12" t="s">
        <v>516</v>
      </c>
      <c r="H332" s="12" t="s">
        <v>731</v>
      </c>
      <c r="I332" s="12" t="s">
        <v>93</v>
      </c>
      <c r="J332" s="12" t="s">
        <v>94</v>
      </c>
      <c r="K332" s="12" t="s">
        <v>95</v>
      </c>
      <c r="L332" s="12" t="s">
        <v>96</v>
      </c>
      <c r="M332" s="11" t="s">
        <v>88</v>
      </c>
    </row>
    <row r="333" customFormat="false" ht="28.35" hidden="false" customHeight="false" outlineLevel="0" collapsed="false">
      <c r="A333" s="11" t="s">
        <v>739</v>
      </c>
      <c r="B333" s="12" t="s">
        <v>50</v>
      </c>
      <c r="C333" s="12" t="s">
        <v>49</v>
      </c>
      <c r="D333" s="12" t="n">
        <v>7</v>
      </c>
      <c r="E333" s="12" t="s">
        <v>92</v>
      </c>
      <c r="F333" s="12" t="s">
        <v>98</v>
      </c>
      <c r="G333" s="12" t="s">
        <v>740</v>
      </c>
      <c r="H333" s="12" t="s">
        <v>731</v>
      </c>
      <c r="I333" s="12" t="s">
        <v>93</v>
      </c>
      <c r="J333" s="12" t="s">
        <v>94</v>
      </c>
      <c r="K333" s="12" t="s">
        <v>95</v>
      </c>
      <c r="L333" s="12" t="s">
        <v>96</v>
      </c>
      <c r="M333" s="11" t="s">
        <v>88</v>
      </c>
    </row>
    <row r="334" customFormat="false" ht="28.35" hidden="false" customHeight="false" outlineLevel="0" collapsed="false">
      <c r="A334" s="11" t="s">
        <v>741</v>
      </c>
      <c r="B334" s="12" t="s">
        <v>50</v>
      </c>
      <c r="C334" s="12" t="s">
        <v>49</v>
      </c>
      <c r="D334" s="12" t="n">
        <v>8</v>
      </c>
      <c r="E334" s="12" t="s">
        <v>92</v>
      </c>
      <c r="F334" s="12" t="s">
        <v>98</v>
      </c>
      <c r="G334" s="12" t="s">
        <v>742</v>
      </c>
      <c r="H334" s="12" t="s">
        <v>731</v>
      </c>
      <c r="I334" s="12" t="s">
        <v>93</v>
      </c>
      <c r="J334" s="12" t="s">
        <v>94</v>
      </c>
      <c r="K334" s="12" t="s">
        <v>95</v>
      </c>
      <c r="L334" s="12" t="s">
        <v>96</v>
      </c>
      <c r="M334" s="11" t="s">
        <v>88</v>
      </c>
    </row>
    <row r="335" customFormat="false" ht="28.35" hidden="false" customHeight="false" outlineLevel="0" collapsed="false">
      <c r="A335" s="11" t="s">
        <v>743</v>
      </c>
      <c r="B335" s="12" t="s">
        <v>50</v>
      </c>
      <c r="C335" s="12" t="s">
        <v>49</v>
      </c>
      <c r="D335" s="12" t="n">
        <v>9</v>
      </c>
      <c r="E335" s="12" t="s">
        <v>92</v>
      </c>
      <c r="F335" s="12" t="s">
        <v>98</v>
      </c>
      <c r="G335" s="12" t="s">
        <v>272</v>
      </c>
      <c r="H335" s="12" t="s">
        <v>731</v>
      </c>
      <c r="I335" s="12" t="s">
        <v>93</v>
      </c>
      <c r="J335" s="12" t="s">
        <v>94</v>
      </c>
      <c r="K335" s="12" t="s">
        <v>95</v>
      </c>
      <c r="L335" s="12" t="s">
        <v>96</v>
      </c>
      <c r="M335" s="11" t="s">
        <v>88</v>
      </c>
    </row>
    <row r="336" customFormat="false" ht="55.2" hidden="false" customHeight="false" outlineLevel="0" collapsed="false">
      <c r="A336" s="11" t="s">
        <v>744</v>
      </c>
      <c r="B336" s="12" t="s">
        <v>50</v>
      </c>
      <c r="C336" s="12" t="s">
        <v>49</v>
      </c>
      <c r="D336" s="12" t="n">
        <v>10</v>
      </c>
      <c r="E336" s="12" t="s">
        <v>92</v>
      </c>
      <c r="F336" s="12" t="s">
        <v>98</v>
      </c>
      <c r="G336" s="12" t="s">
        <v>745</v>
      </c>
      <c r="H336" s="12" t="s">
        <v>731</v>
      </c>
      <c r="I336" s="12" t="s">
        <v>93</v>
      </c>
      <c r="J336" s="12" t="s">
        <v>94</v>
      </c>
      <c r="K336" s="12" t="s">
        <v>95</v>
      </c>
      <c r="L336" s="12" t="s">
        <v>96</v>
      </c>
      <c r="M336" s="11" t="s">
        <v>88</v>
      </c>
    </row>
    <row r="337" customFormat="false" ht="28.35" hidden="false" customHeight="false" outlineLevel="0" collapsed="false">
      <c r="A337" s="11" t="s">
        <v>746</v>
      </c>
      <c r="B337" s="12" t="s">
        <v>50</v>
      </c>
      <c r="C337" s="12" t="s">
        <v>49</v>
      </c>
      <c r="D337" s="12" t="n">
        <v>11</v>
      </c>
      <c r="E337" s="12" t="s">
        <v>525</v>
      </c>
      <c r="F337" s="12" t="s">
        <v>82</v>
      </c>
      <c r="G337" s="12" t="s">
        <v>525</v>
      </c>
      <c r="H337" s="12" t="s">
        <v>731</v>
      </c>
      <c r="I337" s="12" t="s">
        <v>93</v>
      </c>
      <c r="J337" s="12" t="s">
        <v>94</v>
      </c>
      <c r="K337" s="12" t="s">
        <v>95</v>
      </c>
      <c r="L337" s="12" t="s">
        <v>96</v>
      </c>
      <c r="M337" s="11" t="s">
        <v>88</v>
      </c>
    </row>
    <row r="338" customFormat="false" ht="28.35" hidden="false" customHeight="false" outlineLevel="0" collapsed="false">
      <c r="A338" s="11" t="s">
        <v>747</v>
      </c>
      <c r="B338" s="12" t="s">
        <v>50</v>
      </c>
      <c r="C338" s="12" t="s">
        <v>49</v>
      </c>
      <c r="D338" s="12" t="n">
        <v>12</v>
      </c>
      <c r="E338" s="12" t="s">
        <v>525</v>
      </c>
      <c r="F338" s="12" t="s">
        <v>98</v>
      </c>
      <c r="G338" s="12" t="s">
        <v>115</v>
      </c>
      <c r="H338" s="12" t="s">
        <v>731</v>
      </c>
      <c r="I338" s="12" t="s">
        <v>93</v>
      </c>
      <c r="J338" s="12" t="s">
        <v>94</v>
      </c>
      <c r="K338" s="12" t="s">
        <v>95</v>
      </c>
      <c r="L338" s="12" t="s">
        <v>96</v>
      </c>
      <c r="M338" s="11" t="s">
        <v>88</v>
      </c>
    </row>
    <row r="339" customFormat="false" ht="28.35" hidden="false" customHeight="false" outlineLevel="0" collapsed="false">
      <c r="A339" s="11" t="s">
        <v>748</v>
      </c>
      <c r="B339" s="12" t="s">
        <v>50</v>
      </c>
      <c r="C339" s="12" t="s">
        <v>49</v>
      </c>
      <c r="D339" s="12" t="n">
        <v>13</v>
      </c>
      <c r="E339" s="12" t="s">
        <v>525</v>
      </c>
      <c r="F339" s="12" t="s">
        <v>98</v>
      </c>
      <c r="G339" s="12" t="s">
        <v>117</v>
      </c>
      <c r="H339" s="12" t="s">
        <v>731</v>
      </c>
      <c r="I339" s="12" t="s">
        <v>93</v>
      </c>
      <c r="J339" s="12" t="s">
        <v>94</v>
      </c>
      <c r="K339" s="12" t="s">
        <v>95</v>
      </c>
      <c r="L339" s="12" t="s">
        <v>96</v>
      </c>
      <c r="M339" s="11" t="s">
        <v>88</v>
      </c>
    </row>
    <row r="340" customFormat="false" ht="28.35" hidden="false" customHeight="false" outlineLevel="0" collapsed="false">
      <c r="A340" s="11" t="s">
        <v>749</v>
      </c>
      <c r="B340" s="12" t="s">
        <v>50</v>
      </c>
      <c r="C340" s="12" t="s">
        <v>49</v>
      </c>
      <c r="D340" s="12" t="n">
        <v>14</v>
      </c>
      <c r="E340" s="12" t="s">
        <v>525</v>
      </c>
      <c r="F340" s="12" t="s">
        <v>98</v>
      </c>
      <c r="G340" s="12" t="s">
        <v>279</v>
      </c>
      <c r="H340" s="12" t="s">
        <v>731</v>
      </c>
      <c r="I340" s="12" t="s">
        <v>93</v>
      </c>
      <c r="J340" s="12" t="s">
        <v>94</v>
      </c>
      <c r="K340" s="12" t="s">
        <v>95</v>
      </c>
      <c r="L340" s="12" t="s">
        <v>96</v>
      </c>
      <c r="M340" s="11" t="s">
        <v>88</v>
      </c>
    </row>
    <row r="341" customFormat="false" ht="28.35" hidden="false" customHeight="false" outlineLevel="0" collapsed="false">
      <c r="A341" s="11" t="s">
        <v>750</v>
      </c>
      <c r="B341" s="12" t="s">
        <v>50</v>
      </c>
      <c r="C341" s="12" t="s">
        <v>49</v>
      </c>
      <c r="D341" s="12" t="n">
        <v>15</v>
      </c>
      <c r="E341" s="12" t="s">
        <v>525</v>
      </c>
      <c r="F341" s="12" t="s">
        <v>98</v>
      </c>
      <c r="G341" s="12" t="s">
        <v>751</v>
      </c>
      <c r="H341" s="12" t="s">
        <v>731</v>
      </c>
      <c r="I341" s="12" t="s">
        <v>93</v>
      </c>
      <c r="J341" s="12" t="s">
        <v>94</v>
      </c>
      <c r="K341" s="12" t="s">
        <v>95</v>
      </c>
      <c r="L341" s="12" t="s">
        <v>96</v>
      </c>
      <c r="M341" s="11" t="s">
        <v>88</v>
      </c>
    </row>
    <row r="342" customFormat="false" ht="28.35" hidden="false" customHeight="false" outlineLevel="0" collapsed="false">
      <c r="A342" s="11" t="s">
        <v>752</v>
      </c>
      <c r="B342" s="12" t="s">
        <v>50</v>
      </c>
      <c r="C342" s="12" t="s">
        <v>49</v>
      </c>
      <c r="D342" s="12" t="n">
        <v>16</v>
      </c>
      <c r="E342" s="12" t="s">
        <v>525</v>
      </c>
      <c r="F342" s="12" t="s">
        <v>98</v>
      </c>
      <c r="G342" s="12" t="s">
        <v>753</v>
      </c>
      <c r="H342" s="12" t="s">
        <v>731</v>
      </c>
      <c r="I342" s="12" t="s">
        <v>93</v>
      </c>
      <c r="J342" s="12" t="s">
        <v>94</v>
      </c>
      <c r="K342" s="12" t="s">
        <v>95</v>
      </c>
      <c r="L342" s="12" t="s">
        <v>96</v>
      </c>
      <c r="M342" s="11" t="s">
        <v>88</v>
      </c>
    </row>
    <row r="343" customFormat="false" ht="28.35" hidden="false" customHeight="false" outlineLevel="0" collapsed="false">
      <c r="A343" s="11" t="s">
        <v>754</v>
      </c>
      <c r="B343" s="12" t="s">
        <v>50</v>
      </c>
      <c r="C343" s="12" t="s">
        <v>49</v>
      </c>
      <c r="D343" s="12" t="n">
        <v>17</v>
      </c>
      <c r="E343" s="12" t="s">
        <v>525</v>
      </c>
      <c r="F343" s="12" t="s">
        <v>98</v>
      </c>
      <c r="G343" s="12" t="s">
        <v>755</v>
      </c>
      <c r="H343" s="12" t="s">
        <v>731</v>
      </c>
      <c r="I343" s="12" t="s">
        <v>93</v>
      </c>
      <c r="J343" s="12" t="s">
        <v>94</v>
      </c>
      <c r="K343" s="12" t="s">
        <v>95</v>
      </c>
      <c r="L343" s="12" t="s">
        <v>96</v>
      </c>
      <c r="M343" s="11" t="s">
        <v>88</v>
      </c>
    </row>
    <row r="344" customFormat="false" ht="28.35" hidden="false" customHeight="false" outlineLevel="0" collapsed="false">
      <c r="A344" s="11" t="s">
        <v>756</v>
      </c>
      <c r="B344" s="12" t="s">
        <v>50</v>
      </c>
      <c r="C344" s="12" t="s">
        <v>49</v>
      </c>
      <c r="D344" s="12" t="n">
        <v>18</v>
      </c>
      <c r="E344" s="12" t="s">
        <v>525</v>
      </c>
      <c r="F344" s="12" t="s">
        <v>98</v>
      </c>
      <c r="G344" s="12" t="s">
        <v>287</v>
      </c>
      <c r="H344" s="12" t="s">
        <v>731</v>
      </c>
      <c r="I344" s="12" t="s">
        <v>93</v>
      </c>
      <c r="J344" s="12" t="s">
        <v>94</v>
      </c>
      <c r="K344" s="12" t="s">
        <v>95</v>
      </c>
      <c r="L344" s="12" t="s">
        <v>96</v>
      </c>
      <c r="M344" s="11" t="s">
        <v>88</v>
      </c>
    </row>
    <row r="345" customFormat="false" ht="28.35" hidden="false" customHeight="false" outlineLevel="0" collapsed="false">
      <c r="A345" s="11" t="s">
        <v>757</v>
      </c>
      <c r="B345" s="12" t="s">
        <v>50</v>
      </c>
      <c r="C345" s="12" t="s">
        <v>49</v>
      </c>
      <c r="D345" s="12" t="n">
        <v>19</v>
      </c>
      <c r="E345" s="12" t="s">
        <v>525</v>
      </c>
      <c r="F345" s="12" t="s">
        <v>98</v>
      </c>
      <c r="G345" s="12" t="s">
        <v>539</v>
      </c>
      <c r="H345" s="12" t="s">
        <v>731</v>
      </c>
      <c r="I345" s="12" t="s">
        <v>93</v>
      </c>
      <c r="J345" s="12" t="s">
        <v>94</v>
      </c>
      <c r="K345" s="12" t="s">
        <v>95</v>
      </c>
      <c r="L345" s="12" t="s">
        <v>96</v>
      </c>
      <c r="M345" s="11" t="s">
        <v>88</v>
      </c>
    </row>
    <row r="346" customFormat="false" ht="28.35" hidden="false" customHeight="false" outlineLevel="0" collapsed="false">
      <c r="A346" s="11" t="s">
        <v>758</v>
      </c>
      <c r="B346" s="12" t="s">
        <v>50</v>
      </c>
      <c r="C346" s="12" t="s">
        <v>49</v>
      </c>
      <c r="D346" s="12" t="n">
        <v>20</v>
      </c>
      <c r="E346" s="12" t="s">
        <v>525</v>
      </c>
      <c r="F346" s="12" t="s">
        <v>98</v>
      </c>
      <c r="G346" s="12" t="s">
        <v>759</v>
      </c>
      <c r="H346" s="12" t="s">
        <v>731</v>
      </c>
      <c r="I346" s="12" t="s">
        <v>93</v>
      </c>
      <c r="J346" s="12" t="s">
        <v>94</v>
      </c>
      <c r="K346" s="12" t="s">
        <v>95</v>
      </c>
      <c r="L346" s="12" t="s">
        <v>96</v>
      </c>
      <c r="M346" s="11" t="s">
        <v>88</v>
      </c>
    </row>
    <row r="347" customFormat="false" ht="28.35" hidden="false" customHeight="false" outlineLevel="0" collapsed="false">
      <c r="A347" s="11" t="s">
        <v>760</v>
      </c>
      <c r="B347" s="12" t="s">
        <v>50</v>
      </c>
      <c r="C347" s="12" t="s">
        <v>49</v>
      </c>
      <c r="D347" s="12" t="n">
        <v>21</v>
      </c>
      <c r="E347" s="12" t="s">
        <v>525</v>
      </c>
      <c r="F347" s="12" t="s">
        <v>98</v>
      </c>
      <c r="G347" s="12" t="s">
        <v>130</v>
      </c>
      <c r="H347" s="12" t="s">
        <v>731</v>
      </c>
      <c r="I347" s="12" t="s">
        <v>93</v>
      </c>
      <c r="J347" s="12" t="s">
        <v>94</v>
      </c>
      <c r="K347" s="12" t="s">
        <v>95</v>
      </c>
      <c r="L347" s="12" t="s">
        <v>96</v>
      </c>
      <c r="M347" s="11" t="s">
        <v>88</v>
      </c>
    </row>
    <row r="348" customFormat="false" ht="28.35" hidden="false" customHeight="false" outlineLevel="0" collapsed="false">
      <c r="A348" s="11" t="s">
        <v>761</v>
      </c>
      <c r="B348" s="12" t="s">
        <v>50</v>
      </c>
      <c r="C348" s="12" t="s">
        <v>49</v>
      </c>
      <c r="D348" s="12" t="n">
        <v>22</v>
      </c>
      <c r="E348" s="12" t="s">
        <v>525</v>
      </c>
      <c r="F348" s="12" t="s">
        <v>132</v>
      </c>
      <c r="G348" s="12" t="s">
        <v>762</v>
      </c>
      <c r="H348" s="12" t="s">
        <v>731</v>
      </c>
      <c r="I348" s="12" t="s">
        <v>93</v>
      </c>
      <c r="J348" s="12" t="s">
        <v>94</v>
      </c>
      <c r="K348" s="12" t="s">
        <v>95</v>
      </c>
      <c r="L348" s="12" t="s">
        <v>96</v>
      </c>
      <c r="M348" s="11" t="s">
        <v>88</v>
      </c>
    </row>
    <row r="349" customFormat="false" ht="28.35" hidden="false" customHeight="false" outlineLevel="0" collapsed="false">
      <c r="A349" s="11" t="s">
        <v>763</v>
      </c>
      <c r="B349" s="12" t="s">
        <v>50</v>
      </c>
      <c r="C349" s="12" t="s">
        <v>49</v>
      </c>
      <c r="D349" s="12" t="n">
        <v>23</v>
      </c>
      <c r="E349" s="12" t="s">
        <v>525</v>
      </c>
      <c r="F349" s="12" t="s">
        <v>132</v>
      </c>
      <c r="G349" s="12" t="s">
        <v>764</v>
      </c>
      <c r="H349" s="12" t="s">
        <v>731</v>
      </c>
      <c r="I349" s="12" t="s">
        <v>93</v>
      </c>
      <c r="J349" s="12" t="s">
        <v>94</v>
      </c>
      <c r="K349" s="12" t="s">
        <v>95</v>
      </c>
      <c r="L349" s="12" t="s">
        <v>96</v>
      </c>
      <c r="M349" s="11" t="s">
        <v>88</v>
      </c>
    </row>
    <row r="350" customFormat="false" ht="28.35" hidden="false" customHeight="false" outlineLevel="0" collapsed="false">
      <c r="A350" s="11" t="s">
        <v>765</v>
      </c>
      <c r="B350" s="12" t="s">
        <v>50</v>
      </c>
      <c r="C350" s="12" t="s">
        <v>49</v>
      </c>
      <c r="D350" s="12" t="n">
        <v>24</v>
      </c>
      <c r="E350" s="12" t="s">
        <v>525</v>
      </c>
      <c r="F350" s="12" t="s">
        <v>132</v>
      </c>
      <c r="G350" s="12" t="s">
        <v>766</v>
      </c>
      <c r="H350" s="12" t="s">
        <v>731</v>
      </c>
      <c r="I350" s="12" t="s">
        <v>93</v>
      </c>
      <c r="J350" s="12" t="s">
        <v>94</v>
      </c>
      <c r="K350" s="12" t="s">
        <v>95</v>
      </c>
      <c r="L350" s="12" t="s">
        <v>96</v>
      </c>
      <c r="M350" s="11" t="s">
        <v>88</v>
      </c>
    </row>
    <row r="351" customFormat="false" ht="28.35" hidden="false" customHeight="false" outlineLevel="0" collapsed="false">
      <c r="A351" s="11" t="s">
        <v>767</v>
      </c>
      <c r="B351" s="12" t="s">
        <v>50</v>
      </c>
      <c r="C351" s="12" t="s">
        <v>49</v>
      </c>
      <c r="D351" s="12" t="n">
        <v>25</v>
      </c>
      <c r="E351" s="12" t="s">
        <v>525</v>
      </c>
      <c r="F351" s="12" t="s">
        <v>132</v>
      </c>
      <c r="G351" s="12" t="s">
        <v>301</v>
      </c>
      <c r="H351" s="12" t="s">
        <v>731</v>
      </c>
      <c r="I351" s="12" t="s">
        <v>93</v>
      </c>
      <c r="J351" s="12" t="s">
        <v>94</v>
      </c>
      <c r="K351" s="12" t="s">
        <v>95</v>
      </c>
      <c r="L351" s="12" t="s">
        <v>96</v>
      </c>
      <c r="M351" s="11" t="s">
        <v>88</v>
      </c>
    </row>
    <row r="352" customFormat="false" ht="28.35" hidden="false" customHeight="false" outlineLevel="0" collapsed="false">
      <c r="A352" s="11" t="s">
        <v>768</v>
      </c>
      <c r="B352" s="12" t="s">
        <v>50</v>
      </c>
      <c r="C352" s="12" t="s">
        <v>49</v>
      </c>
      <c r="D352" s="12" t="n">
        <v>26</v>
      </c>
      <c r="E352" s="12" t="s">
        <v>525</v>
      </c>
      <c r="F352" s="12" t="s">
        <v>132</v>
      </c>
      <c r="G352" s="12" t="s">
        <v>769</v>
      </c>
      <c r="H352" s="12" t="s">
        <v>731</v>
      </c>
      <c r="I352" s="12" t="s">
        <v>93</v>
      </c>
      <c r="J352" s="12" t="s">
        <v>94</v>
      </c>
      <c r="K352" s="12" t="s">
        <v>95</v>
      </c>
      <c r="L352" s="12" t="s">
        <v>96</v>
      </c>
      <c r="M352" s="11" t="s">
        <v>88</v>
      </c>
    </row>
    <row r="353" customFormat="false" ht="28.35" hidden="false" customHeight="false" outlineLevel="0" collapsed="false">
      <c r="A353" s="11" t="s">
        <v>770</v>
      </c>
      <c r="B353" s="12" t="s">
        <v>50</v>
      </c>
      <c r="C353" s="12" t="s">
        <v>49</v>
      </c>
      <c r="D353" s="12" t="n">
        <v>27</v>
      </c>
      <c r="E353" s="12" t="s">
        <v>525</v>
      </c>
      <c r="F353" s="12" t="s">
        <v>132</v>
      </c>
      <c r="G353" s="12" t="s">
        <v>771</v>
      </c>
      <c r="H353" s="12" t="s">
        <v>731</v>
      </c>
      <c r="I353" s="12" t="s">
        <v>93</v>
      </c>
      <c r="J353" s="12" t="s">
        <v>94</v>
      </c>
      <c r="K353" s="12" t="s">
        <v>95</v>
      </c>
      <c r="L353" s="12" t="s">
        <v>96</v>
      </c>
      <c r="M353" s="11" t="s">
        <v>88</v>
      </c>
    </row>
    <row r="354" customFormat="false" ht="28.35" hidden="false" customHeight="false" outlineLevel="0" collapsed="false">
      <c r="A354" s="11" t="s">
        <v>772</v>
      </c>
      <c r="B354" s="12" t="s">
        <v>50</v>
      </c>
      <c r="C354" s="12" t="s">
        <v>49</v>
      </c>
      <c r="D354" s="12" t="n">
        <v>28</v>
      </c>
      <c r="E354" s="12" t="s">
        <v>525</v>
      </c>
      <c r="F354" s="12" t="s">
        <v>132</v>
      </c>
      <c r="G354" s="12" t="s">
        <v>773</v>
      </c>
      <c r="H354" s="12" t="s">
        <v>731</v>
      </c>
      <c r="I354" s="12" t="s">
        <v>93</v>
      </c>
      <c r="J354" s="12" t="s">
        <v>94</v>
      </c>
      <c r="K354" s="12" t="s">
        <v>95</v>
      </c>
      <c r="L354" s="12" t="s">
        <v>96</v>
      </c>
      <c r="M354" s="11" t="s">
        <v>88</v>
      </c>
    </row>
    <row r="355" customFormat="false" ht="28.35" hidden="false" customHeight="false" outlineLevel="0" collapsed="false">
      <c r="A355" s="11" t="s">
        <v>774</v>
      </c>
      <c r="B355" s="12" t="s">
        <v>50</v>
      </c>
      <c r="C355" s="12" t="s">
        <v>49</v>
      </c>
      <c r="D355" s="12" t="n">
        <v>29</v>
      </c>
      <c r="E355" s="12" t="s">
        <v>525</v>
      </c>
      <c r="F355" s="12" t="s">
        <v>132</v>
      </c>
      <c r="G355" s="12" t="s">
        <v>309</v>
      </c>
      <c r="H355" s="12" t="s">
        <v>731</v>
      </c>
      <c r="I355" s="12" t="s">
        <v>93</v>
      </c>
      <c r="J355" s="12" t="s">
        <v>94</v>
      </c>
      <c r="K355" s="12" t="s">
        <v>95</v>
      </c>
      <c r="L355" s="12" t="s">
        <v>96</v>
      </c>
      <c r="M355" s="11" t="s">
        <v>88</v>
      </c>
    </row>
    <row r="356" customFormat="false" ht="28.35" hidden="false" customHeight="false" outlineLevel="0" collapsed="false">
      <c r="A356" s="11" t="s">
        <v>775</v>
      </c>
      <c r="B356" s="12" t="s">
        <v>50</v>
      </c>
      <c r="C356" s="12" t="s">
        <v>49</v>
      </c>
      <c r="D356" s="12" t="n">
        <v>30</v>
      </c>
      <c r="E356" s="12" t="s">
        <v>525</v>
      </c>
      <c r="F356" s="12" t="s">
        <v>132</v>
      </c>
      <c r="G356" s="12" t="s">
        <v>311</v>
      </c>
      <c r="H356" s="12" t="s">
        <v>731</v>
      </c>
      <c r="I356" s="12" t="s">
        <v>93</v>
      </c>
      <c r="J356" s="12" t="s">
        <v>94</v>
      </c>
      <c r="K356" s="12" t="s">
        <v>95</v>
      </c>
      <c r="L356" s="12" t="s">
        <v>96</v>
      </c>
      <c r="M356" s="11" t="s">
        <v>88</v>
      </c>
    </row>
    <row r="357" customFormat="false" ht="28.35" hidden="false" customHeight="false" outlineLevel="0" collapsed="false">
      <c r="A357" s="11" t="s">
        <v>776</v>
      </c>
      <c r="B357" s="12" t="s">
        <v>50</v>
      </c>
      <c r="C357" s="12" t="s">
        <v>49</v>
      </c>
      <c r="D357" s="12" t="n">
        <v>31</v>
      </c>
      <c r="E357" s="12" t="s">
        <v>525</v>
      </c>
      <c r="F357" s="12" t="s">
        <v>132</v>
      </c>
      <c r="G357" s="12" t="s">
        <v>777</v>
      </c>
      <c r="H357" s="12" t="s">
        <v>731</v>
      </c>
      <c r="I357" s="12" t="s">
        <v>93</v>
      </c>
      <c r="J357" s="12" t="s">
        <v>94</v>
      </c>
      <c r="K357" s="12" t="s">
        <v>95</v>
      </c>
      <c r="L357" s="12" t="s">
        <v>96</v>
      </c>
      <c r="M357" s="11" t="s">
        <v>88</v>
      </c>
    </row>
    <row r="358" customFormat="false" ht="28.35" hidden="false" customHeight="false" outlineLevel="0" collapsed="false">
      <c r="A358" s="11" t="s">
        <v>778</v>
      </c>
      <c r="B358" s="12" t="s">
        <v>50</v>
      </c>
      <c r="C358" s="12" t="s">
        <v>49</v>
      </c>
      <c r="D358" s="12" t="n">
        <v>32</v>
      </c>
      <c r="E358" s="12" t="s">
        <v>525</v>
      </c>
      <c r="F358" s="12" t="s">
        <v>132</v>
      </c>
      <c r="G358" s="12" t="s">
        <v>779</v>
      </c>
      <c r="H358" s="12" t="s">
        <v>731</v>
      </c>
      <c r="I358" s="12" t="s">
        <v>93</v>
      </c>
      <c r="J358" s="12" t="s">
        <v>94</v>
      </c>
      <c r="K358" s="12" t="s">
        <v>95</v>
      </c>
      <c r="L358" s="12" t="s">
        <v>96</v>
      </c>
      <c r="M358" s="11" t="s">
        <v>88</v>
      </c>
    </row>
    <row r="359" customFormat="false" ht="28.35" hidden="false" customHeight="false" outlineLevel="0" collapsed="false">
      <c r="A359" s="11" t="s">
        <v>780</v>
      </c>
      <c r="B359" s="12" t="s">
        <v>50</v>
      </c>
      <c r="C359" s="12" t="s">
        <v>49</v>
      </c>
      <c r="D359" s="12" t="n">
        <v>33</v>
      </c>
      <c r="E359" s="12" t="s">
        <v>525</v>
      </c>
      <c r="F359" s="12" t="s">
        <v>132</v>
      </c>
      <c r="G359" s="12" t="s">
        <v>781</v>
      </c>
      <c r="H359" s="12" t="s">
        <v>731</v>
      </c>
      <c r="I359" s="12" t="s">
        <v>93</v>
      </c>
      <c r="J359" s="12" t="s">
        <v>94</v>
      </c>
      <c r="K359" s="12" t="s">
        <v>95</v>
      </c>
      <c r="L359" s="12" t="s">
        <v>96</v>
      </c>
      <c r="M359" s="11" t="s">
        <v>88</v>
      </c>
    </row>
    <row r="360" customFormat="false" ht="28.35" hidden="false" customHeight="false" outlineLevel="0" collapsed="false">
      <c r="A360" s="11" t="s">
        <v>782</v>
      </c>
      <c r="B360" s="12" t="s">
        <v>50</v>
      </c>
      <c r="C360" s="12" t="s">
        <v>49</v>
      </c>
      <c r="D360" s="12" t="n">
        <v>34</v>
      </c>
      <c r="E360" s="12" t="s">
        <v>525</v>
      </c>
      <c r="F360" s="12" t="s">
        <v>132</v>
      </c>
      <c r="G360" s="12" t="s">
        <v>783</v>
      </c>
      <c r="H360" s="12" t="s">
        <v>731</v>
      </c>
      <c r="I360" s="12" t="s">
        <v>93</v>
      </c>
      <c r="J360" s="12" t="s">
        <v>94</v>
      </c>
      <c r="K360" s="12" t="s">
        <v>95</v>
      </c>
      <c r="L360" s="12" t="s">
        <v>96</v>
      </c>
      <c r="M360" s="11" t="s">
        <v>88</v>
      </c>
    </row>
    <row r="361" customFormat="false" ht="28.35" hidden="false" customHeight="false" outlineLevel="0" collapsed="false">
      <c r="A361" s="11" t="s">
        <v>784</v>
      </c>
      <c r="B361" s="12" t="s">
        <v>50</v>
      </c>
      <c r="C361" s="12" t="s">
        <v>49</v>
      </c>
      <c r="D361" s="12" t="n">
        <v>35</v>
      </c>
      <c r="E361" s="12" t="s">
        <v>525</v>
      </c>
      <c r="F361" s="12" t="s">
        <v>132</v>
      </c>
      <c r="G361" s="12" t="s">
        <v>785</v>
      </c>
      <c r="H361" s="12" t="s">
        <v>731</v>
      </c>
      <c r="I361" s="12" t="s">
        <v>93</v>
      </c>
      <c r="J361" s="12" t="s">
        <v>94</v>
      </c>
      <c r="K361" s="12" t="s">
        <v>95</v>
      </c>
      <c r="L361" s="12" t="s">
        <v>96</v>
      </c>
      <c r="M361" s="11" t="s">
        <v>88</v>
      </c>
    </row>
    <row r="362" customFormat="false" ht="28.35" hidden="false" customHeight="false" outlineLevel="0" collapsed="false">
      <c r="A362" s="11" t="s">
        <v>786</v>
      </c>
      <c r="B362" s="12" t="s">
        <v>50</v>
      </c>
      <c r="C362" s="12" t="s">
        <v>49</v>
      </c>
      <c r="D362" s="12" t="n">
        <v>36</v>
      </c>
      <c r="E362" s="12" t="s">
        <v>525</v>
      </c>
      <c r="F362" s="12" t="s">
        <v>98</v>
      </c>
      <c r="G362" s="12" t="s">
        <v>787</v>
      </c>
      <c r="H362" s="12" t="s">
        <v>731</v>
      </c>
      <c r="I362" s="12" t="s">
        <v>93</v>
      </c>
      <c r="J362" s="12" t="s">
        <v>94</v>
      </c>
      <c r="K362" s="12" t="s">
        <v>95</v>
      </c>
      <c r="L362" s="12" t="s">
        <v>96</v>
      </c>
      <c r="M362" s="11" t="s">
        <v>88</v>
      </c>
    </row>
    <row r="363" customFormat="false" ht="28.35" hidden="false" customHeight="false" outlineLevel="0" collapsed="false">
      <c r="A363" s="11" t="s">
        <v>788</v>
      </c>
      <c r="B363" s="12" t="s">
        <v>50</v>
      </c>
      <c r="C363" s="12" t="s">
        <v>49</v>
      </c>
      <c r="D363" s="12" t="n">
        <v>37</v>
      </c>
      <c r="E363" s="12" t="s">
        <v>331</v>
      </c>
      <c r="F363" s="12" t="s">
        <v>82</v>
      </c>
      <c r="G363" s="12" t="s">
        <v>331</v>
      </c>
      <c r="H363" s="12" t="s">
        <v>731</v>
      </c>
      <c r="I363" s="12" t="s">
        <v>84</v>
      </c>
      <c r="J363" s="12" t="s">
        <v>85</v>
      </c>
      <c r="K363" s="12" t="s">
        <v>86</v>
      </c>
      <c r="L363" s="12" t="s">
        <v>87</v>
      </c>
      <c r="M363" s="11" t="s">
        <v>88</v>
      </c>
    </row>
    <row r="364" customFormat="false" ht="28.35" hidden="false" customHeight="false" outlineLevel="0" collapsed="false">
      <c r="A364" s="11" t="s">
        <v>789</v>
      </c>
      <c r="B364" s="12" t="s">
        <v>50</v>
      </c>
      <c r="C364" s="12" t="s">
        <v>49</v>
      </c>
      <c r="D364" s="12" t="n">
        <v>38</v>
      </c>
      <c r="E364" s="12" t="s">
        <v>331</v>
      </c>
      <c r="F364" s="12" t="s">
        <v>132</v>
      </c>
      <c r="G364" s="12" t="s">
        <v>573</v>
      </c>
      <c r="H364" s="12" t="s">
        <v>731</v>
      </c>
      <c r="I364" s="12" t="s">
        <v>84</v>
      </c>
      <c r="J364" s="12" t="s">
        <v>85</v>
      </c>
      <c r="K364" s="12" t="s">
        <v>86</v>
      </c>
      <c r="L364" s="12" t="s">
        <v>87</v>
      </c>
      <c r="M364" s="11" t="s">
        <v>88</v>
      </c>
    </row>
    <row r="365" customFormat="false" ht="28.35" hidden="false" customHeight="false" outlineLevel="0" collapsed="false">
      <c r="A365" s="11" t="s">
        <v>790</v>
      </c>
      <c r="B365" s="12" t="s">
        <v>50</v>
      </c>
      <c r="C365" s="12" t="s">
        <v>49</v>
      </c>
      <c r="D365" s="12" t="n">
        <v>39</v>
      </c>
      <c r="E365" s="12" t="s">
        <v>331</v>
      </c>
      <c r="F365" s="12" t="s">
        <v>132</v>
      </c>
      <c r="G365" s="12" t="s">
        <v>791</v>
      </c>
      <c r="H365" s="12" t="s">
        <v>731</v>
      </c>
      <c r="I365" s="12" t="s">
        <v>84</v>
      </c>
      <c r="J365" s="12" t="s">
        <v>85</v>
      </c>
      <c r="K365" s="12" t="s">
        <v>86</v>
      </c>
      <c r="L365" s="12" t="s">
        <v>87</v>
      </c>
      <c r="M365" s="11" t="s">
        <v>88</v>
      </c>
    </row>
    <row r="366" customFormat="false" ht="28.35" hidden="false" customHeight="false" outlineLevel="0" collapsed="false">
      <c r="A366" s="11" t="s">
        <v>792</v>
      </c>
      <c r="B366" s="12" t="s">
        <v>50</v>
      </c>
      <c r="C366" s="12" t="s">
        <v>49</v>
      </c>
      <c r="D366" s="12" t="n">
        <v>40</v>
      </c>
      <c r="E366" s="12" t="s">
        <v>331</v>
      </c>
      <c r="F366" s="12" t="s">
        <v>132</v>
      </c>
      <c r="G366" s="12" t="s">
        <v>793</v>
      </c>
      <c r="H366" s="12" t="s">
        <v>731</v>
      </c>
      <c r="I366" s="12" t="s">
        <v>84</v>
      </c>
      <c r="J366" s="12" t="s">
        <v>85</v>
      </c>
      <c r="K366" s="12" t="s">
        <v>86</v>
      </c>
      <c r="L366" s="12" t="s">
        <v>87</v>
      </c>
      <c r="M366" s="11" t="s">
        <v>88</v>
      </c>
    </row>
    <row r="367" customFormat="false" ht="28.35" hidden="false" customHeight="false" outlineLevel="0" collapsed="false">
      <c r="A367" s="11" t="s">
        <v>794</v>
      </c>
      <c r="B367" s="12" t="s">
        <v>50</v>
      </c>
      <c r="C367" s="12" t="s">
        <v>49</v>
      </c>
      <c r="D367" s="12" t="n">
        <v>41</v>
      </c>
      <c r="E367" s="12" t="s">
        <v>331</v>
      </c>
      <c r="F367" s="12" t="s">
        <v>132</v>
      </c>
      <c r="G367" s="12" t="s">
        <v>795</v>
      </c>
      <c r="H367" s="12" t="s">
        <v>731</v>
      </c>
      <c r="I367" s="12" t="s">
        <v>84</v>
      </c>
      <c r="J367" s="12" t="s">
        <v>85</v>
      </c>
      <c r="K367" s="12" t="s">
        <v>86</v>
      </c>
      <c r="L367" s="12" t="s">
        <v>87</v>
      </c>
      <c r="M367" s="11" t="s">
        <v>88</v>
      </c>
    </row>
    <row r="368" customFormat="false" ht="28.35" hidden="false" customHeight="false" outlineLevel="0" collapsed="false">
      <c r="A368" s="11" t="s">
        <v>796</v>
      </c>
      <c r="B368" s="12" t="s">
        <v>50</v>
      </c>
      <c r="C368" s="12" t="s">
        <v>49</v>
      </c>
      <c r="D368" s="12" t="n">
        <v>42</v>
      </c>
      <c r="E368" s="12" t="s">
        <v>331</v>
      </c>
      <c r="F368" s="12" t="s">
        <v>132</v>
      </c>
      <c r="G368" s="12" t="s">
        <v>797</v>
      </c>
      <c r="H368" s="12" t="s">
        <v>731</v>
      </c>
      <c r="I368" s="12" t="s">
        <v>84</v>
      </c>
      <c r="J368" s="12" t="s">
        <v>85</v>
      </c>
      <c r="K368" s="12" t="s">
        <v>86</v>
      </c>
      <c r="L368" s="12" t="s">
        <v>87</v>
      </c>
      <c r="M368" s="11" t="s">
        <v>88</v>
      </c>
    </row>
    <row r="369" customFormat="false" ht="28.35" hidden="false" customHeight="false" outlineLevel="0" collapsed="false">
      <c r="A369" s="11" t="s">
        <v>798</v>
      </c>
      <c r="B369" s="12" t="s">
        <v>50</v>
      </c>
      <c r="C369" s="12" t="s">
        <v>49</v>
      </c>
      <c r="D369" s="12" t="n">
        <v>43</v>
      </c>
      <c r="E369" s="12" t="s">
        <v>799</v>
      </c>
      <c r="F369" s="12" t="s">
        <v>82</v>
      </c>
      <c r="G369" s="12" t="s">
        <v>799</v>
      </c>
      <c r="H369" s="12" t="s">
        <v>731</v>
      </c>
      <c r="I369" s="12" t="s">
        <v>158</v>
      </c>
      <c r="J369" s="12" t="s">
        <v>159</v>
      </c>
      <c r="K369" s="12" t="s">
        <v>19</v>
      </c>
      <c r="L369" s="12" t="s">
        <v>87</v>
      </c>
      <c r="M369" s="11" t="s">
        <v>88</v>
      </c>
    </row>
    <row r="370" customFormat="false" ht="41.75" hidden="false" customHeight="false" outlineLevel="0" collapsed="false">
      <c r="A370" s="11" t="s">
        <v>800</v>
      </c>
      <c r="B370" s="12" t="s">
        <v>50</v>
      </c>
      <c r="C370" s="12" t="s">
        <v>49</v>
      </c>
      <c r="D370" s="12" t="n">
        <v>44</v>
      </c>
      <c r="E370" s="12" t="s">
        <v>801</v>
      </c>
      <c r="F370" s="12" t="s">
        <v>82</v>
      </c>
      <c r="G370" s="12" t="s">
        <v>801</v>
      </c>
      <c r="H370" s="12" t="s">
        <v>731</v>
      </c>
      <c r="I370" s="12" t="s">
        <v>158</v>
      </c>
      <c r="J370" s="12" t="s">
        <v>159</v>
      </c>
      <c r="K370" s="12" t="s">
        <v>19</v>
      </c>
      <c r="L370" s="12" t="s">
        <v>87</v>
      </c>
      <c r="M370" s="11" t="s">
        <v>88</v>
      </c>
    </row>
    <row r="371" customFormat="false" ht="41.75" hidden="false" customHeight="false" outlineLevel="0" collapsed="false">
      <c r="A371" s="11" t="s">
        <v>802</v>
      </c>
      <c r="B371" s="12" t="s">
        <v>50</v>
      </c>
      <c r="C371" s="12" t="s">
        <v>49</v>
      </c>
      <c r="D371" s="12" t="n">
        <v>45</v>
      </c>
      <c r="E371" s="12" t="s">
        <v>801</v>
      </c>
      <c r="F371" s="12" t="s">
        <v>132</v>
      </c>
      <c r="G371" s="12" t="s">
        <v>803</v>
      </c>
      <c r="H371" s="12" t="s">
        <v>731</v>
      </c>
      <c r="I371" s="12" t="s">
        <v>164</v>
      </c>
      <c r="J371" s="12" t="s">
        <v>165</v>
      </c>
      <c r="K371" s="12" t="s">
        <v>16</v>
      </c>
      <c r="L371" s="12" t="s">
        <v>87</v>
      </c>
      <c r="M371" s="11" t="s">
        <v>88</v>
      </c>
    </row>
    <row r="372" customFormat="false" ht="41.75" hidden="false" customHeight="false" outlineLevel="0" collapsed="false">
      <c r="A372" s="11" t="s">
        <v>804</v>
      </c>
      <c r="B372" s="12" t="s">
        <v>50</v>
      </c>
      <c r="C372" s="12" t="s">
        <v>49</v>
      </c>
      <c r="D372" s="12" t="n">
        <v>46</v>
      </c>
      <c r="E372" s="12" t="s">
        <v>801</v>
      </c>
      <c r="F372" s="12" t="s">
        <v>132</v>
      </c>
      <c r="G372" s="12" t="s">
        <v>167</v>
      </c>
      <c r="H372" s="12" t="s">
        <v>731</v>
      </c>
      <c r="I372" s="12" t="s">
        <v>168</v>
      </c>
      <c r="J372" s="12" t="s">
        <v>169</v>
      </c>
      <c r="K372" s="12" t="s">
        <v>31</v>
      </c>
      <c r="L372" s="12" t="s">
        <v>96</v>
      </c>
      <c r="M372" s="11" t="s">
        <v>170</v>
      </c>
    </row>
    <row r="373" customFormat="false" ht="95.5" hidden="false" customHeight="false" outlineLevel="0" collapsed="false">
      <c r="A373" s="11" t="s">
        <v>805</v>
      </c>
      <c r="B373" s="12" t="s">
        <v>50</v>
      </c>
      <c r="C373" s="12" t="s">
        <v>49</v>
      </c>
      <c r="D373" s="12" t="n">
        <v>47</v>
      </c>
      <c r="E373" s="12" t="s">
        <v>801</v>
      </c>
      <c r="F373" s="12" t="s">
        <v>98</v>
      </c>
      <c r="G373" s="12" t="s">
        <v>806</v>
      </c>
      <c r="H373" s="12" t="s">
        <v>731</v>
      </c>
      <c r="I373" s="12" t="s">
        <v>175</v>
      </c>
      <c r="J373" s="12" t="s">
        <v>176</v>
      </c>
      <c r="K373" s="12" t="s">
        <v>22</v>
      </c>
      <c r="L373" s="12" t="s">
        <v>96</v>
      </c>
      <c r="M373" s="11" t="s">
        <v>88</v>
      </c>
    </row>
    <row r="374" customFormat="false" ht="108.95" hidden="false" customHeight="false" outlineLevel="0" collapsed="false">
      <c r="A374" s="11" t="s">
        <v>807</v>
      </c>
      <c r="B374" s="12" t="s">
        <v>50</v>
      </c>
      <c r="C374" s="12" t="s">
        <v>49</v>
      </c>
      <c r="D374" s="12" t="n">
        <v>48</v>
      </c>
      <c r="E374" s="12" t="s">
        <v>801</v>
      </c>
      <c r="F374" s="12" t="s">
        <v>98</v>
      </c>
      <c r="G374" s="12" t="s">
        <v>808</v>
      </c>
      <c r="H374" s="12" t="s">
        <v>731</v>
      </c>
      <c r="I374" s="12" t="s">
        <v>175</v>
      </c>
      <c r="J374" s="12" t="s">
        <v>176</v>
      </c>
      <c r="K374" s="12" t="s">
        <v>22</v>
      </c>
      <c r="L374" s="12" t="s">
        <v>96</v>
      </c>
      <c r="M374" s="11" t="s">
        <v>88</v>
      </c>
    </row>
    <row r="375" customFormat="false" ht="41.75" hidden="false" customHeight="false" outlineLevel="0" collapsed="false">
      <c r="A375" s="11" t="s">
        <v>809</v>
      </c>
      <c r="B375" s="12" t="s">
        <v>50</v>
      </c>
      <c r="C375" s="12" t="s">
        <v>49</v>
      </c>
      <c r="D375" s="12" t="n">
        <v>49</v>
      </c>
      <c r="E375" s="12" t="s">
        <v>801</v>
      </c>
      <c r="F375" s="12" t="s">
        <v>98</v>
      </c>
      <c r="G375" s="12" t="s">
        <v>810</v>
      </c>
      <c r="H375" s="12" t="s">
        <v>731</v>
      </c>
      <c r="I375" s="12" t="s">
        <v>175</v>
      </c>
      <c r="J375" s="12" t="s">
        <v>176</v>
      </c>
      <c r="K375" s="12" t="s">
        <v>22</v>
      </c>
      <c r="L375" s="12" t="s">
        <v>96</v>
      </c>
      <c r="M375" s="11" t="s">
        <v>88</v>
      </c>
    </row>
    <row r="376" customFormat="false" ht="41.75" hidden="false" customHeight="false" outlineLevel="0" collapsed="false">
      <c r="A376" s="11" t="s">
        <v>811</v>
      </c>
      <c r="B376" s="12" t="s">
        <v>50</v>
      </c>
      <c r="C376" s="12" t="s">
        <v>49</v>
      </c>
      <c r="D376" s="12" t="n">
        <v>50</v>
      </c>
      <c r="E376" s="12" t="s">
        <v>801</v>
      </c>
      <c r="F376" s="12" t="s">
        <v>132</v>
      </c>
      <c r="G376" s="12" t="s">
        <v>812</v>
      </c>
      <c r="H376" s="12" t="s">
        <v>731</v>
      </c>
      <c r="I376" s="12" t="s">
        <v>164</v>
      </c>
      <c r="J376" s="12" t="s">
        <v>165</v>
      </c>
      <c r="K376" s="12" t="s">
        <v>16</v>
      </c>
      <c r="L376" s="12" t="s">
        <v>87</v>
      </c>
      <c r="M376" s="11" t="s">
        <v>88</v>
      </c>
    </row>
    <row r="377" customFormat="false" ht="28.35" hidden="false" customHeight="false" outlineLevel="0" collapsed="false">
      <c r="A377" s="11" t="s">
        <v>813</v>
      </c>
      <c r="B377" s="12" t="s">
        <v>50</v>
      </c>
      <c r="C377" s="12" t="s">
        <v>49</v>
      </c>
      <c r="D377" s="12" t="n">
        <v>51</v>
      </c>
      <c r="E377" s="12" t="s">
        <v>814</v>
      </c>
      <c r="F377" s="12" t="s">
        <v>82</v>
      </c>
      <c r="G377" s="12" t="s">
        <v>814</v>
      </c>
      <c r="H377" s="12" t="s">
        <v>731</v>
      </c>
      <c r="I377" s="12" t="s">
        <v>158</v>
      </c>
      <c r="J377" s="12" t="s">
        <v>159</v>
      </c>
      <c r="K377" s="12" t="s">
        <v>19</v>
      </c>
      <c r="L377" s="12" t="s">
        <v>87</v>
      </c>
      <c r="M377" s="11" t="s">
        <v>88</v>
      </c>
    </row>
    <row r="378" customFormat="false" ht="28.35" hidden="false" customHeight="false" outlineLevel="0" collapsed="false">
      <c r="A378" s="11" t="s">
        <v>815</v>
      </c>
      <c r="B378" s="12" t="s">
        <v>50</v>
      </c>
      <c r="C378" s="12" t="s">
        <v>49</v>
      </c>
      <c r="D378" s="12" t="n">
        <v>52</v>
      </c>
      <c r="E378" s="12" t="s">
        <v>816</v>
      </c>
      <c r="F378" s="12" t="s">
        <v>82</v>
      </c>
      <c r="G378" s="12" t="s">
        <v>816</v>
      </c>
      <c r="H378" s="12" t="s">
        <v>731</v>
      </c>
      <c r="I378" s="12" t="s">
        <v>158</v>
      </c>
      <c r="J378" s="12" t="s">
        <v>159</v>
      </c>
      <c r="K378" s="12" t="s">
        <v>19</v>
      </c>
      <c r="L378" s="12" t="s">
        <v>87</v>
      </c>
      <c r="M378" s="11" t="s">
        <v>88</v>
      </c>
    </row>
    <row r="379" customFormat="false" ht="28.35" hidden="false" customHeight="false" outlineLevel="0" collapsed="false">
      <c r="A379" s="11" t="s">
        <v>817</v>
      </c>
      <c r="B379" s="12" t="s">
        <v>50</v>
      </c>
      <c r="C379" s="12" t="s">
        <v>49</v>
      </c>
      <c r="D379" s="12" t="n">
        <v>53</v>
      </c>
      <c r="E379" s="12" t="s">
        <v>816</v>
      </c>
      <c r="F379" s="12" t="s">
        <v>132</v>
      </c>
      <c r="G379" s="12" t="s">
        <v>818</v>
      </c>
      <c r="H379" s="12" t="s">
        <v>731</v>
      </c>
      <c r="I379" s="12" t="s">
        <v>164</v>
      </c>
      <c r="J379" s="12" t="s">
        <v>165</v>
      </c>
      <c r="K379" s="12" t="s">
        <v>16</v>
      </c>
      <c r="L379" s="12" t="s">
        <v>87</v>
      </c>
      <c r="M379" s="11" t="s">
        <v>88</v>
      </c>
    </row>
    <row r="380" customFormat="false" ht="28.35" hidden="false" customHeight="false" outlineLevel="0" collapsed="false">
      <c r="A380" s="11" t="s">
        <v>819</v>
      </c>
      <c r="B380" s="12" t="s">
        <v>50</v>
      </c>
      <c r="C380" s="12" t="s">
        <v>49</v>
      </c>
      <c r="D380" s="12" t="n">
        <v>54</v>
      </c>
      <c r="E380" s="12" t="s">
        <v>816</v>
      </c>
      <c r="F380" s="12" t="s">
        <v>132</v>
      </c>
      <c r="G380" s="12" t="s">
        <v>820</v>
      </c>
      <c r="H380" s="12" t="s">
        <v>731</v>
      </c>
      <c r="I380" s="12" t="s">
        <v>164</v>
      </c>
      <c r="J380" s="12" t="s">
        <v>165</v>
      </c>
      <c r="K380" s="12" t="s">
        <v>16</v>
      </c>
      <c r="L380" s="12" t="s">
        <v>87</v>
      </c>
      <c r="M380" s="11" t="s">
        <v>88</v>
      </c>
    </row>
    <row r="381" customFormat="false" ht="28.35" hidden="false" customHeight="false" outlineLevel="0" collapsed="false">
      <c r="A381" s="11" t="s">
        <v>821</v>
      </c>
      <c r="B381" s="12" t="s">
        <v>50</v>
      </c>
      <c r="C381" s="12" t="s">
        <v>49</v>
      </c>
      <c r="D381" s="12" t="n">
        <v>55</v>
      </c>
      <c r="E381" s="12" t="s">
        <v>816</v>
      </c>
      <c r="F381" s="12" t="s">
        <v>132</v>
      </c>
      <c r="G381" s="12" t="s">
        <v>822</v>
      </c>
      <c r="H381" s="12" t="s">
        <v>731</v>
      </c>
      <c r="I381" s="12" t="s">
        <v>164</v>
      </c>
      <c r="J381" s="12" t="s">
        <v>165</v>
      </c>
      <c r="K381" s="12" t="s">
        <v>16</v>
      </c>
      <c r="L381" s="12" t="s">
        <v>87</v>
      </c>
      <c r="M381" s="11" t="s">
        <v>88</v>
      </c>
    </row>
    <row r="382" customFormat="false" ht="28.35" hidden="false" customHeight="false" outlineLevel="0" collapsed="false">
      <c r="A382" s="11" t="s">
        <v>823</v>
      </c>
      <c r="B382" s="12" t="s">
        <v>50</v>
      </c>
      <c r="C382" s="12" t="s">
        <v>49</v>
      </c>
      <c r="D382" s="12" t="n">
        <v>56</v>
      </c>
      <c r="E382" s="12" t="s">
        <v>816</v>
      </c>
      <c r="F382" s="12" t="s">
        <v>98</v>
      </c>
      <c r="G382" s="12" t="s">
        <v>824</v>
      </c>
      <c r="H382" s="12" t="s">
        <v>731</v>
      </c>
      <c r="I382" s="12" t="s">
        <v>175</v>
      </c>
      <c r="J382" s="12" t="s">
        <v>176</v>
      </c>
      <c r="K382" s="12" t="s">
        <v>22</v>
      </c>
      <c r="L382" s="12" t="s">
        <v>96</v>
      </c>
      <c r="M382" s="11" t="s">
        <v>88</v>
      </c>
    </row>
    <row r="383" customFormat="false" ht="28.35" hidden="false" customHeight="false" outlineLevel="0" collapsed="false">
      <c r="A383" s="11" t="s">
        <v>825</v>
      </c>
      <c r="B383" s="12" t="s">
        <v>50</v>
      </c>
      <c r="C383" s="12" t="s">
        <v>49</v>
      </c>
      <c r="D383" s="12" t="n">
        <v>57</v>
      </c>
      <c r="E383" s="12" t="s">
        <v>816</v>
      </c>
      <c r="F383" s="12" t="s">
        <v>98</v>
      </c>
      <c r="G383" s="12" t="s">
        <v>826</v>
      </c>
      <c r="H383" s="12" t="s">
        <v>731</v>
      </c>
      <c r="I383" s="12" t="s">
        <v>175</v>
      </c>
      <c r="J383" s="12" t="s">
        <v>176</v>
      </c>
      <c r="K383" s="12" t="s">
        <v>22</v>
      </c>
      <c r="L383" s="12" t="s">
        <v>96</v>
      </c>
      <c r="M383" s="11" t="s">
        <v>88</v>
      </c>
    </row>
    <row r="384" customFormat="false" ht="28.35" hidden="false" customHeight="false" outlineLevel="0" collapsed="false">
      <c r="A384" s="11" t="s">
        <v>827</v>
      </c>
      <c r="B384" s="12" t="s">
        <v>50</v>
      </c>
      <c r="C384" s="12" t="s">
        <v>49</v>
      </c>
      <c r="D384" s="12" t="n">
        <v>58</v>
      </c>
      <c r="E384" s="12" t="s">
        <v>816</v>
      </c>
      <c r="F384" s="12" t="s">
        <v>98</v>
      </c>
      <c r="G384" s="12" t="s">
        <v>828</v>
      </c>
      <c r="H384" s="12" t="s">
        <v>731</v>
      </c>
      <c r="I384" s="12" t="s">
        <v>175</v>
      </c>
      <c r="J384" s="12" t="s">
        <v>176</v>
      </c>
      <c r="K384" s="12" t="s">
        <v>22</v>
      </c>
      <c r="L384" s="12" t="s">
        <v>96</v>
      </c>
      <c r="M384" s="11" t="s">
        <v>88</v>
      </c>
    </row>
    <row r="385" customFormat="false" ht="28.35" hidden="false" customHeight="false" outlineLevel="0" collapsed="false">
      <c r="A385" s="11" t="s">
        <v>829</v>
      </c>
      <c r="B385" s="12" t="s">
        <v>50</v>
      </c>
      <c r="C385" s="12" t="s">
        <v>49</v>
      </c>
      <c r="D385" s="12" t="n">
        <v>59</v>
      </c>
      <c r="E385" s="12" t="s">
        <v>816</v>
      </c>
      <c r="F385" s="12" t="s">
        <v>98</v>
      </c>
      <c r="G385" s="12" t="s">
        <v>830</v>
      </c>
      <c r="H385" s="12" t="s">
        <v>731</v>
      </c>
      <c r="I385" s="12" t="s">
        <v>175</v>
      </c>
      <c r="J385" s="12" t="s">
        <v>176</v>
      </c>
      <c r="K385" s="12" t="s">
        <v>22</v>
      </c>
      <c r="L385" s="12" t="s">
        <v>96</v>
      </c>
      <c r="M385" s="11" t="s">
        <v>88</v>
      </c>
    </row>
    <row r="386" customFormat="false" ht="28.35" hidden="false" customHeight="false" outlineLevel="0" collapsed="false">
      <c r="A386" s="11" t="s">
        <v>831</v>
      </c>
      <c r="B386" s="12" t="s">
        <v>50</v>
      </c>
      <c r="C386" s="12" t="s">
        <v>49</v>
      </c>
      <c r="D386" s="12" t="n">
        <v>60</v>
      </c>
      <c r="E386" s="12" t="s">
        <v>816</v>
      </c>
      <c r="F386" s="12" t="s">
        <v>98</v>
      </c>
      <c r="G386" s="12" t="s">
        <v>832</v>
      </c>
      <c r="H386" s="12" t="s">
        <v>731</v>
      </c>
      <c r="I386" s="12" t="s">
        <v>175</v>
      </c>
      <c r="J386" s="12" t="s">
        <v>176</v>
      </c>
      <c r="K386" s="12" t="s">
        <v>22</v>
      </c>
      <c r="L386" s="12" t="s">
        <v>96</v>
      </c>
      <c r="M386" s="11" t="s">
        <v>88</v>
      </c>
    </row>
    <row r="387" customFormat="false" ht="28.35" hidden="false" customHeight="false" outlineLevel="0" collapsed="false">
      <c r="A387" s="11" t="s">
        <v>833</v>
      </c>
      <c r="B387" s="12" t="s">
        <v>50</v>
      </c>
      <c r="C387" s="12" t="s">
        <v>49</v>
      </c>
      <c r="D387" s="12" t="n">
        <v>61</v>
      </c>
      <c r="E387" s="12" t="s">
        <v>816</v>
      </c>
      <c r="F387" s="12" t="s">
        <v>132</v>
      </c>
      <c r="G387" s="12" t="s">
        <v>834</v>
      </c>
      <c r="H387" s="12" t="s">
        <v>731</v>
      </c>
      <c r="I387" s="12" t="s">
        <v>164</v>
      </c>
      <c r="J387" s="12" t="s">
        <v>165</v>
      </c>
      <c r="K387" s="12" t="s">
        <v>16</v>
      </c>
      <c r="L387" s="12" t="s">
        <v>87</v>
      </c>
      <c r="M387" s="11" t="s">
        <v>88</v>
      </c>
    </row>
    <row r="388" customFormat="false" ht="28.35" hidden="false" customHeight="false" outlineLevel="0" collapsed="false">
      <c r="A388" s="11" t="s">
        <v>835</v>
      </c>
      <c r="B388" s="12" t="s">
        <v>50</v>
      </c>
      <c r="C388" s="12" t="s">
        <v>49</v>
      </c>
      <c r="D388" s="12" t="n">
        <v>62</v>
      </c>
      <c r="E388" s="12" t="s">
        <v>816</v>
      </c>
      <c r="F388" s="12" t="s">
        <v>132</v>
      </c>
      <c r="G388" s="12" t="s">
        <v>836</v>
      </c>
      <c r="H388" s="12" t="s">
        <v>731</v>
      </c>
      <c r="I388" s="12" t="s">
        <v>164</v>
      </c>
      <c r="J388" s="12" t="s">
        <v>165</v>
      </c>
      <c r="K388" s="12" t="s">
        <v>16</v>
      </c>
      <c r="L388" s="12" t="s">
        <v>87</v>
      </c>
      <c r="M388" s="11" t="s">
        <v>88</v>
      </c>
    </row>
    <row r="389" customFormat="false" ht="28.35" hidden="false" customHeight="false" outlineLevel="0" collapsed="false">
      <c r="A389" s="11" t="s">
        <v>837</v>
      </c>
      <c r="B389" s="12" t="s">
        <v>50</v>
      </c>
      <c r="C389" s="12" t="s">
        <v>49</v>
      </c>
      <c r="D389" s="12" t="n">
        <v>63</v>
      </c>
      <c r="E389" s="12" t="s">
        <v>816</v>
      </c>
      <c r="F389" s="12" t="s">
        <v>132</v>
      </c>
      <c r="G389" s="12" t="s">
        <v>838</v>
      </c>
      <c r="H389" s="12" t="s">
        <v>731</v>
      </c>
      <c r="I389" s="12" t="s">
        <v>164</v>
      </c>
      <c r="J389" s="12" t="s">
        <v>165</v>
      </c>
      <c r="K389" s="12" t="s">
        <v>16</v>
      </c>
      <c r="L389" s="12" t="s">
        <v>87</v>
      </c>
      <c r="M389" s="11" t="s">
        <v>88</v>
      </c>
    </row>
    <row r="390" customFormat="false" ht="28.35" hidden="false" customHeight="false" outlineLevel="0" collapsed="false">
      <c r="A390" s="11" t="s">
        <v>839</v>
      </c>
      <c r="B390" s="12" t="s">
        <v>50</v>
      </c>
      <c r="C390" s="12" t="s">
        <v>49</v>
      </c>
      <c r="D390" s="12" t="n">
        <v>64</v>
      </c>
      <c r="E390" s="12" t="s">
        <v>816</v>
      </c>
      <c r="F390" s="12" t="s">
        <v>132</v>
      </c>
      <c r="G390" s="12" t="s">
        <v>840</v>
      </c>
      <c r="H390" s="12" t="s">
        <v>731</v>
      </c>
      <c r="I390" s="12" t="s">
        <v>164</v>
      </c>
      <c r="J390" s="12" t="s">
        <v>165</v>
      </c>
      <c r="K390" s="12" t="s">
        <v>16</v>
      </c>
      <c r="L390" s="12" t="s">
        <v>87</v>
      </c>
      <c r="M390" s="11" t="s">
        <v>88</v>
      </c>
    </row>
    <row r="391" customFormat="false" ht="28.35" hidden="false" customHeight="false" outlineLevel="0" collapsed="false">
      <c r="A391" s="11" t="s">
        <v>841</v>
      </c>
      <c r="B391" s="12" t="s">
        <v>50</v>
      </c>
      <c r="C391" s="12" t="s">
        <v>49</v>
      </c>
      <c r="D391" s="12" t="n">
        <v>65</v>
      </c>
      <c r="E391" s="12" t="s">
        <v>816</v>
      </c>
      <c r="F391" s="12" t="s">
        <v>132</v>
      </c>
      <c r="G391" s="12" t="s">
        <v>385</v>
      </c>
      <c r="H391" s="12" t="s">
        <v>731</v>
      </c>
      <c r="I391" s="12" t="s">
        <v>164</v>
      </c>
      <c r="J391" s="12" t="s">
        <v>165</v>
      </c>
      <c r="K391" s="12" t="s">
        <v>16</v>
      </c>
      <c r="L391" s="12" t="s">
        <v>87</v>
      </c>
      <c r="M391" s="11" t="s">
        <v>88</v>
      </c>
    </row>
    <row r="392" customFormat="false" ht="55.2" hidden="false" customHeight="false" outlineLevel="0" collapsed="false">
      <c r="A392" s="11" t="s">
        <v>842</v>
      </c>
      <c r="B392" s="12" t="s">
        <v>50</v>
      </c>
      <c r="C392" s="12" t="s">
        <v>49</v>
      </c>
      <c r="D392" s="12" t="n">
        <v>66</v>
      </c>
      <c r="E392" s="12" t="s">
        <v>816</v>
      </c>
      <c r="F392" s="12" t="s">
        <v>98</v>
      </c>
      <c r="G392" s="12" t="s">
        <v>843</v>
      </c>
      <c r="H392" s="12" t="s">
        <v>731</v>
      </c>
      <c r="I392" s="12" t="s">
        <v>175</v>
      </c>
      <c r="J392" s="12" t="s">
        <v>176</v>
      </c>
      <c r="K392" s="12" t="s">
        <v>22</v>
      </c>
      <c r="L392" s="12" t="s">
        <v>96</v>
      </c>
      <c r="M392" s="11" t="s">
        <v>88</v>
      </c>
    </row>
    <row r="393" customFormat="false" ht="28.35" hidden="false" customHeight="false" outlineLevel="0" collapsed="false">
      <c r="A393" s="11" t="s">
        <v>844</v>
      </c>
      <c r="B393" s="12" t="s">
        <v>50</v>
      </c>
      <c r="C393" s="12" t="s">
        <v>49</v>
      </c>
      <c r="D393" s="12" t="n">
        <v>67</v>
      </c>
      <c r="E393" s="12" t="s">
        <v>845</v>
      </c>
      <c r="F393" s="12" t="s">
        <v>82</v>
      </c>
      <c r="G393" s="12" t="s">
        <v>845</v>
      </c>
      <c r="H393" s="12" t="s">
        <v>731</v>
      </c>
      <c r="I393" s="12" t="s">
        <v>158</v>
      </c>
      <c r="J393" s="12" t="s">
        <v>159</v>
      </c>
      <c r="K393" s="12" t="s">
        <v>19</v>
      </c>
      <c r="L393" s="12" t="s">
        <v>87</v>
      </c>
      <c r="M393" s="11" t="s">
        <v>88</v>
      </c>
    </row>
    <row r="394" customFormat="false" ht="28.35" hidden="false" customHeight="false" outlineLevel="0" collapsed="false">
      <c r="A394" s="11" t="s">
        <v>846</v>
      </c>
      <c r="B394" s="12" t="s">
        <v>50</v>
      </c>
      <c r="C394" s="12" t="s">
        <v>49</v>
      </c>
      <c r="D394" s="12" t="n">
        <v>68</v>
      </c>
      <c r="E394" s="12" t="s">
        <v>845</v>
      </c>
      <c r="F394" s="12" t="s">
        <v>132</v>
      </c>
      <c r="G394" s="12" t="s">
        <v>847</v>
      </c>
      <c r="H394" s="12" t="s">
        <v>731</v>
      </c>
      <c r="I394" s="12" t="s">
        <v>164</v>
      </c>
      <c r="J394" s="12" t="s">
        <v>165</v>
      </c>
      <c r="K394" s="12" t="s">
        <v>16</v>
      </c>
      <c r="L394" s="12" t="s">
        <v>87</v>
      </c>
      <c r="M394" s="11" t="s">
        <v>88</v>
      </c>
    </row>
    <row r="395" customFormat="false" ht="28.35" hidden="false" customHeight="false" outlineLevel="0" collapsed="false">
      <c r="A395" s="11" t="s">
        <v>848</v>
      </c>
      <c r="B395" s="12" t="s">
        <v>50</v>
      </c>
      <c r="C395" s="12" t="s">
        <v>49</v>
      </c>
      <c r="D395" s="12" t="n">
        <v>69</v>
      </c>
      <c r="E395" s="12" t="s">
        <v>845</v>
      </c>
      <c r="F395" s="12" t="s">
        <v>132</v>
      </c>
      <c r="G395" s="12" t="s">
        <v>849</v>
      </c>
      <c r="H395" s="12" t="s">
        <v>731</v>
      </c>
      <c r="I395" s="12" t="s">
        <v>164</v>
      </c>
      <c r="J395" s="12" t="s">
        <v>165</v>
      </c>
      <c r="K395" s="12" t="s">
        <v>16</v>
      </c>
      <c r="L395" s="12" t="s">
        <v>87</v>
      </c>
      <c r="M395" s="11" t="s">
        <v>88</v>
      </c>
    </row>
    <row r="396" customFormat="false" ht="28.35" hidden="false" customHeight="false" outlineLevel="0" collapsed="false">
      <c r="A396" s="11" t="s">
        <v>850</v>
      </c>
      <c r="B396" s="12" t="s">
        <v>50</v>
      </c>
      <c r="C396" s="12" t="s">
        <v>49</v>
      </c>
      <c r="D396" s="12" t="n">
        <v>70</v>
      </c>
      <c r="E396" s="12" t="s">
        <v>845</v>
      </c>
      <c r="F396" s="12" t="s">
        <v>132</v>
      </c>
      <c r="G396" s="12" t="s">
        <v>851</v>
      </c>
      <c r="H396" s="12" t="s">
        <v>731</v>
      </c>
      <c r="I396" s="12" t="s">
        <v>164</v>
      </c>
      <c r="J396" s="12" t="s">
        <v>165</v>
      </c>
      <c r="K396" s="12" t="s">
        <v>16</v>
      </c>
      <c r="L396" s="12" t="s">
        <v>87</v>
      </c>
      <c r="M396" s="11" t="s">
        <v>88</v>
      </c>
    </row>
    <row r="397" customFormat="false" ht="41.75" hidden="false" customHeight="false" outlineLevel="0" collapsed="false">
      <c r="A397" s="11" t="s">
        <v>852</v>
      </c>
      <c r="B397" s="12" t="s">
        <v>50</v>
      </c>
      <c r="C397" s="12" t="s">
        <v>49</v>
      </c>
      <c r="D397" s="12" t="n">
        <v>71</v>
      </c>
      <c r="E397" s="12" t="s">
        <v>845</v>
      </c>
      <c r="F397" s="12" t="s">
        <v>132</v>
      </c>
      <c r="G397" s="12" t="s">
        <v>853</v>
      </c>
      <c r="H397" s="12" t="s">
        <v>731</v>
      </c>
      <c r="I397" s="12" t="s">
        <v>164</v>
      </c>
      <c r="J397" s="12" t="s">
        <v>165</v>
      </c>
      <c r="K397" s="12" t="s">
        <v>16</v>
      </c>
      <c r="L397" s="12" t="s">
        <v>87</v>
      </c>
      <c r="M397" s="11" t="s">
        <v>88</v>
      </c>
    </row>
    <row r="398" customFormat="false" ht="28.35" hidden="false" customHeight="false" outlineLevel="0" collapsed="false">
      <c r="A398" s="11" t="s">
        <v>854</v>
      </c>
      <c r="B398" s="12" t="s">
        <v>50</v>
      </c>
      <c r="C398" s="12" t="s">
        <v>49</v>
      </c>
      <c r="D398" s="12" t="n">
        <v>72</v>
      </c>
      <c r="E398" s="12" t="s">
        <v>845</v>
      </c>
      <c r="F398" s="12" t="s">
        <v>98</v>
      </c>
      <c r="G398" s="12" t="s">
        <v>855</v>
      </c>
      <c r="H398" s="12" t="s">
        <v>731</v>
      </c>
      <c r="I398" s="12" t="s">
        <v>175</v>
      </c>
      <c r="J398" s="12" t="s">
        <v>176</v>
      </c>
      <c r="K398" s="12" t="s">
        <v>22</v>
      </c>
      <c r="L398" s="12" t="s">
        <v>96</v>
      </c>
      <c r="M398" s="11" t="s">
        <v>88</v>
      </c>
    </row>
    <row r="399" customFormat="false" ht="28.35" hidden="false" customHeight="false" outlineLevel="0" collapsed="false">
      <c r="A399" s="11" t="s">
        <v>856</v>
      </c>
      <c r="B399" s="12" t="s">
        <v>50</v>
      </c>
      <c r="C399" s="12" t="s">
        <v>49</v>
      </c>
      <c r="D399" s="12" t="n">
        <v>73</v>
      </c>
      <c r="E399" s="12" t="s">
        <v>410</v>
      </c>
      <c r="F399" s="12" t="s">
        <v>82</v>
      </c>
      <c r="G399" s="12" t="s">
        <v>410</v>
      </c>
      <c r="H399" s="12" t="s">
        <v>731</v>
      </c>
      <c r="I399" s="12" t="s">
        <v>411</v>
      </c>
      <c r="J399" s="12" t="s">
        <v>412</v>
      </c>
      <c r="K399" s="12" t="s">
        <v>413</v>
      </c>
      <c r="L399" s="12" t="s">
        <v>87</v>
      </c>
      <c r="M399" s="11" t="s">
        <v>88</v>
      </c>
    </row>
    <row r="400" customFormat="false" ht="28.35" hidden="false" customHeight="false" outlineLevel="0" collapsed="false">
      <c r="A400" s="11" t="s">
        <v>857</v>
      </c>
      <c r="B400" s="12" t="s">
        <v>50</v>
      </c>
      <c r="C400" s="12" t="s">
        <v>49</v>
      </c>
      <c r="D400" s="12" t="n">
        <v>74</v>
      </c>
      <c r="E400" s="12" t="s">
        <v>633</v>
      </c>
      <c r="F400" s="12" t="s">
        <v>82</v>
      </c>
      <c r="G400" s="12" t="s">
        <v>633</v>
      </c>
      <c r="H400" s="12" t="s">
        <v>731</v>
      </c>
      <c r="I400" s="12" t="s">
        <v>411</v>
      </c>
      <c r="J400" s="12" t="s">
        <v>412</v>
      </c>
      <c r="K400" s="12" t="s">
        <v>413</v>
      </c>
      <c r="L400" s="12" t="s">
        <v>87</v>
      </c>
      <c r="M400" s="11" t="s">
        <v>88</v>
      </c>
    </row>
    <row r="401" customFormat="false" ht="28.35" hidden="false" customHeight="false" outlineLevel="0" collapsed="false">
      <c r="A401" s="11" t="s">
        <v>858</v>
      </c>
      <c r="B401" s="12" t="s">
        <v>50</v>
      </c>
      <c r="C401" s="12" t="s">
        <v>49</v>
      </c>
      <c r="D401" s="12" t="n">
        <v>75</v>
      </c>
      <c r="E401" s="12" t="s">
        <v>633</v>
      </c>
      <c r="F401" s="12" t="s">
        <v>132</v>
      </c>
      <c r="G401" s="12" t="s">
        <v>859</v>
      </c>
      <c r="H401" s="12" t="s">
        <v>731</v>
      </c>
      <c r="I401" s="12" t="s">
        <v>411</v>
      </c>
      <c r="J401" s="12" t="s">
        <v>412</v>
      </c>
      <c r="K401" s="12" t="s">
        <v>413</v>
      </c>
      <c r="L401" s="12" t="s">
        <v>87</v>
      </c>
      <c r="M401" s="11" t="s">
        <v>88</v>
      </c>
    </row>
    <row r="402" customFormat="false" ht="28.35" hidden="false" customHeight="false" outlineLevel="0" collapsed="false">
      <c r="A402" s="11" t="s">
        <v>860</v>
      </c>
      <c r="B402" s="12" t="s">
        <v>50</v>
      </c>
      <c r="C402" s="12" t="s">
        <v>49</v>
      </c>
      <c r="D402" s="12" t="n">
        <v>76</v>
      </c>
      <c r="E402" s="12" t="s">
        <v>633</v>
      </c>
      <c r="F402" s="12" t="s">
        <v>132</v>
      </c>
      <c r="G402" s="12" t="s">
        <v>419</v>
      </c>
      <c r="H402" s="12" t="s">
        <v>731</v>
      </c>
      <c r="I402" s="12" t="s">
        <v>411</v>
      </c>
      <c r="J402" s="12" t="s">
        <v>412</v>
      </c>
      <c r="K402" s="12" t="s">
        <v>413</v>
      </c>
      <c r="L402" s="12" t="s">
        <v>87</v>
      </c>
      <c r="M402" s="11" t="s">
        <v>88</v>
      </c>
    </row>
    <row r="403" customFormat="false" ht="28.35" hidden="false" customHeight="false" outlineLevel="0" collapsed="false">
      <c r="A403" s="11" t="s">
        <v>861</v>
      </c>
      <c r="B403" s="12" t="s">
        <v>50</v>
      </c>
      <c r="C403" s="12" t="s">
        <v>49</v>
      </c>
      <c r="D403" s="12" t="n">
        <v>77</v>
      </c>
      <c r="E403" s="12" t="s">
        <v>633</v>
      </c>
      <c r="F403" s="12" t="s">
        <v>132</v>
      </c>
      <c r="G403" s="12" t="s">
        <v>862</v>
      </c>
      <c r="H403" s="12" t="s">
        <v>731</v>
      </c>
      <c r="I403" s="12" t="s">
        <v>411</v>
      </c>
      <c r="J403" s="12" t="s">
        <v>412</v>
      </c>
      <c r="K403" s="12" t="s">
        <v>413</v>
      </c>
      <c r="L403" s="12" t="s">
        <v>87</v>
      </c>
      <c r="M403" s="11" t="s">
        <v>88</v>
      </c>
    </row>
    <row r="404" customFormat="false" ht="28.35" hidden="false" customHeight="false" outlineLevel="0" collapsed="false">
      <c r="A404" s="11" t="s">
        <v>863</v>
      </c>
      <c r="B404" s="12" t="s">
        <v>50</v>
      </c>
      <c r="C404" s="12" t="s">
        <v>49</v>
      </c>
      <c r="D404" s="12" t="n">
        <v>78</v>
      </c>
      <c r="E404" s="12" t="s">
        <v>633</v>
      </c>
      <c r="F404" s="12" t="s">
        <v>132</v>
      </c>
      <c r="G404" s="12" t="s">
        <v>864</v>
      </c>
      <c r="H404" s="12" t="s">
        <v>731</v>
      </c>
      <c r="I404" s="12" t="s">
        <v>411</v>
      </c>
      <c r="J404" s="12" t="s">
        <v>412</v>
      </c>
      <c r="K404" s="12" t="s">
        <v>413</v>
      </c>
      <c r="L404" s="12" t="s">
        <v>87</v>
      </c>
      <c r="M404" s="11" t="s">
        <v>88</v>
      </c>
    </row>
    <row r="405" customFormat="false" ht="28.35" hidden="false" customHeight="false" outlineLevel="0" collapsed="false">
      <c r="A405" s="11" t="s">
        <v>865</v>
      </c>
      <c r="B405" s="12" t="s">
        <v>50</v>
      </c>
      <c r="C405" s="12" t="s">
        <v>49</v>
      </c>
      <c r="D405" s="12" t="n">
        <v>79</v>
      </c>
      <c r="E405" s="12" t="s">
        <v>633</v>
      </c>
      <c r="F405" s="12" t="s">
        <v>132</v>
      </c>
      <c r="G405" s="12" t="s">
        <v>866</v>
      </c>
      <c r="H405" s="12" t="s">
        <v>731</v>
      </c>
      <c r="I405" s="12" t="s">
        <v>411</v>
      </c>
      <c r="J405" s="12" t="s">
        <v>412</v>
      </c>
      <c r="K405" s="12" t="s">
        <v>413</v>
      </c>
      <c r="L405" s="12" t="s">
        <v>87</v>
      </c>
      <c r="M405" s="11" t="s">
        <v>88</v>
      </c>
    </row>
    <row r="406" customFormat="false" ht="28.35" hidden="false" customHeight="false" outlineLevel="0" collapsed="false">
      <c r="A406" s="11" t="s">
        <v>867</v>
      </c>
      <c r="B406" s="12" t="s">
        <v>50</v>
      </c>
      <c r="C406" s="12" t="s">
        <v>49</v>
      </c>
      <c r="D406" s="12" t="n">
        <v>80</v>
      </c>
      <c r="E406" s="12" t="s">
        <v>633</v>
      </c>
      <c r="F406" s="12" t="s">
        <v>132</v>
      </c>
      <c r="G406" s="12" t="s">
        <v>868</v>
      </c>
      <c r="H406" s="12" t="s">
        <v>731</v>
      </c>
      <c r="I406" s="12" t="s">
        <v>411</v>
      </c>
      <c r="J406" s="12" t="s">
        <v>412</v>
      </c>
      <c r="K406" s="12" t="s">
        <v>413</v>
      </c>
      <c r="L406" s="12" t="s">
        <v>87</v>
      </c>
      <c r="M406" s="11" t="s">
        <v>88</v>
      </c>
    </row>
    <row r="407" customFormat="false" ht="28.35" hidden="false" customHeight="false" outlineLevel="0" collapsed="false">
      <c r="A407" s="11" t="s">
        <v>869</v>
      </c>
      <c r="B407" s="12" t="s">
        <v>50</v>
      </c>
      <c r="C407" s="12" t="s">
        <v>49</v>
      </c>
      <c r="D407" s="12" t="n">
        <v>81</v>
      </c>
      <c r="E407" s="12" t="s">
        <v>633</v>
      </c>
      <c r="F407" s="12" t="s">
        <v>132</v>
      </c>
      <c r="G407" s="12" t="s">
        <v>419</v>
      </c>
      <c r="H407" s="12" t="s">
        <v>731</v>
      </c>
      <c r="I407" s="12" t="s">
        <v>411</v>
      </c>
      <c r="J407" s="12" t="s">
        <v>412</v>
      </c>
      <c r="K407" s="12" t="s">
        <v>413</v>
      </c>
      <c r="L407" s="12" t="s">
        <v>87</v>
      </c>
      <c r="M407" s="11" t="s">
        <v>88</v>
      </c>
    </row>
    <row r="408" customFormat="false" ht="28.35" hidden="false" customHeight="false" outlineLevel="0" collapsed="false">
      <c r="A408" s="11" t="s">
        <v>870</v>
      </c>
      <c r="B408" s="12" t="s">
        <v>50</v>
      </c>
      <c r="C408" s="12" t="s">
        <v>49</v>
      </c>
      <c r="D408" s="12" t="n">
        <v>82</v>
      </c>
      <c r="E408" s="12" t="s">
        <v>633</v>
      </c>
      <c r="F408" s="12" t="s">
        <v>132</v>
      </c>
      <c r="G408" s="12" t="s">
        <v>871</v>
      </c>
      <c r="H408" s="12" t="s">
        <v>731</v>
      </c>
      <c r="I408" s="12" t="s">
        <v>411</v>
      </c>
      <c r="J408" s="12" t="s">
        <v>412</v>
      </c>
      <c r="K408" s="12" t="s">
        <v>413</v>
      </c>
      <c r="L408" s="12" t="s">
        <v>87</v>
      </c>
      <c r="M408" s="11" t="s">
        <v>88</v>
      </c>
    </row>
    <row r="409" customFormat="false" ht="28.35" hidden="false" customHeight="false" outlineLevel="0" collapsed="false">
      <c r="A409" s="11" t="s">
        <v>872</v>
      </c>
      <c r="B409" s="12" t="s">
        <v>50</v>
      </c>
      <c r="C409" s="12" t="s">
        <v>49</v>
      </c>
      <c r="D409" s="12" t="n">
        <v>83</v>
      </c>
      <c r="E409" s="12" t="s">
        <v>633</v>
      </c>
      <c r="F409" s="12" t="s">
        <v>132</v>
      </c>
      <c r="G409" s="12" t="s">
        <v>873</v>
      </c>
      <c r="H409" s="12" t="s">
        <v>731</v>
      </c>
      <c r="I409" s="12" t="s">
        <v>411</v>
      </c>
      <c r="J409" s="12" t="s">
        <v>412</v>
      </c>
      <c r="K409" s="12" t="s">
        <v>413</v>
      </c>
      <c r="L409" s="12" t="s">
        <v>87</v>
      </c>
      <c r="M409" s="11" t="s">
        <v>88</v>
      </c>
    </row>
    <row r="410" customFormat="false" ht="28.35" hidden="false" customHeight="false" outlineLevel="0" collapsed="false">
      <c r="A410" s="11" t="s">
        <v>874</v>
      </c>
      <c r="B410" s="12" t="s">
        <v>50</v>
      </c>
      <c r="C410" s="12" t="s">
        <v>49</v>
      </c>
      <c r="D410" s="12" t="n">
        <v>84</v>
      </c>
      <c r="E410" s="12" t="s">
        <v>633</v>
      </c>
      <c r="F410" s="12" t="s">
        <v>132</v>
      </c>
      <c r="G410" s="12" t="s">
        <v>875</v>
      </c>
      <c r="H410" s="12" t="s">
        <v>731</v>
      </c>
      <c r="I410" s="12" t="s">
        <v>411</v>
      </c>
      <c r="J410" s="12" t="s">
        <v>412</v>
      </c>
      <c r="K410" s="12" t="s">
        <v>413</v>
      </c>
      <c r="L410" s="12" t="s">
        <v>87</v>
      </c>
      <c r="M410" s="11" t="s">
        <v>88</v>
      </c>
    </row>
    <row r="411" customFormat="false" ht="28.35" hidden="false" customHeight="false" outlineLevel="0" collapsed="false">
      <c r="A411" s="11" t="s">
        <v>876</v>
      </c>
      <c r="B411" s="12" t="s">
        <v>50</v>
      </c>
      <c r="C411" s="12" t="s">
        <v>49</v>
      </c>
      <c r="D411" s="12" t="n">
        <v>85</v>
      </c>
      <c r="E411" s="12" t="s">
        <v>633</v>
      </c>
      <c r="F411" s="12" t="s">
        <v>132</v>
      </c>
      <c r="G411" s="12" t="s">
        <v>877</v>
      </c>
      <c r="H411" s="12" t="s">
        <v>731</v>
      </c>
      <c r="I411" s="12" t="s">
        <v>411</v>
      </c>
      <c r="J411" s="12" t="s">
        <v>412</v>
      </c>
      <c r="K411" s="12" t="s">
        <v>413</v>
      </c>
      <c r="L411" s="12" t="s">
        <v>87</v>
      </c>
      <c r="M411" s="11" t="s">
        <v>88</v>
      </c>
    </row>
    <row r="412" customFormat="false" ht="28.35" hidden="false" customHeight="false" outlineLevel="0" collapsed="false">
      <c r="A412" s="11" t="s">
        <v>878</v>
      </c>
      <c r="B412" s="12" t="s">
        <v>50</v>
      </c>
      <c r="C412" s="12" t="s">
        <v>49</v>
      </c>
      <c r="D412" s="12" t="n">
        <v>86</v>
      </c>
      <c r="E412" s="12" t="s">
        <v>633</v>
      </c>
      <c r="F412" s="12" t="s">
        <v>132</v>
      </c>
      <c r="G412" s="12" t="s">
        <v>879</v>
      </c>
      <c r="H412" s="12" t="s">
        <v>731</v>
      </c>
      <c r="I412" s="12" t="s">
        <v>411</v>
      </c>
      <c r="J412" s="12" t="s">
        <v>412</v>
      </c>
      <c r="K412" s="12" t="s">
        <v>413</v>
      </c>
      <c r="L412" s="12" t="s">
        <v>87</v>
      </c>
      <c r="M412" s="11" t="s">
        <v>88</v>
      </c>
    </row>
    <row r="413" customFormat="false" ht="28.35" hidden="false" customHeight="false" outlineLevel="0" collapsed="false">
      <c r="A413" s="11" t="s">
        <v>880</v>
      </c>
      <c r="B413" s="12" t="s">
        <v>50</v>
      </c>
      <c r="C413" s="12" t="s">
        <v>49</v>
      </c>
      <c r="D413" s="12" t="n">
        <v>87</v>
      </c>
      <c r="E413" s="12" t="s">
        <v>633</v>
      </c>
      <c r="F413" s="12" t="s">
        <v>132</v>
      </c>
      <c r="G413" s="12" t="s">
        <v>881</v>
      </c>
      <c r="H413" s="12" t="s">
        <v>731</v>
      </c>
      <c r="I413" s="12" t="s">
        <v>411</v>
      </c>
      <c r="J413" s="12" t="s">
        <v>412</v>
      </c>
      <c r="K413" s="12" t="s">
        <v>413</v>
      </c>
      <c r="L413" s="12" t="s">
        <v>87</v>
      </c>
      <c r="M413" s="11" t="s">
        <v>88</v>
      </c>
    </row>
    <row r="414" customFormat="false" ht="28.35" hidden="false" customHeight="false" outlineLevel="0" collapsed="false">
      <c r="A414" s="11" t="s">
        <v>882</v>
      </c>
      <c r="B414" s="12" t="s">
        <v>50</v>
      </c>
      <c r="C414" s="12" t="s">
        <v>49</v>
      </c>
      <c r="D414" s="12" t="n">
        <v>88</v>
      </c>
      <c r="E414" s="12" t="s">
        <v>633</v>
      </c>
      <c r="F414" s="12" t="s">
        <v>132</v>
      </c>
      <c r="G414" s="12" t="s">
        <v>883</v>
      </c>
      <c r="H414" s="12" t="s">
        <v>731</v>
      </c>
      <c r="I414" s="12" t="s">
        <v>411</v>
      </c>
      <c r="J414" s="12" t="s">
        <v>412</v>
      </c>
      <c r="K414" s="12" t="s">
        <v>413</v>
      </c>
      <c r="L414" s="12" t="s">
        <v>87</v>
      </c>
      <c r="M414" s="11" t="s">
        <v>88</v>
      </c>
    </row>
    <row r="415" customFormat="false" ht="28.35" hidden="false" customHeight="false" outlineLevel="0" collapsed="false">
      <c r="A415" s="11" t="s">
        <v>884</v>
      </c>
      <c r="B415" s="12" t="s">
        <v>50</v>
      </c>
      <c r="C415" s="12" t="s">
        <v>49</v>
      </c>
      <c r="D415" s="12" t="n">
        <v>89</v>
      </c>
      <c r="E415" s="12" t="s">
        <v>633</v>
      </c>
      <c r="F415" s="12" t="s">
        <v>132</v>
      </c>
      <c r="G415" s="12" t="s">
        <v>885</v>
      </c>
      <c r="H415" s="12" t="s">
        <v>731</v>
      </c>
      <c r="I415" s="12" t="s">
        <v>411</v>
      </c>
      <c r="J415" s="12" t="s">
        <v>412</v>
      </c>
      <c r="K415" s="12" t="s">
        <v>413</v>
      </c>
      <c r="L415" s="12" t="s">
        <v>87</v>
      </c>
      <c r="M415" s="11" t="s">
        <v>88</v>
      </c>
    </row>
    <row r="416" customFormat="false" ht="28.35" hidden="false" customHeight="false" outlineLevel="0" collapsed="false">
      <c r="A416" s="11" t="s">
        <v>886</v>
      </c>
      <c r="B416" s="12" t="s">
        <v>50</v>
      </c>
      <c r="C416" s="12" t="s">
        <v>49</v>
      </c>
      <c r="D416" s="12" t="n">
        <v>90</v>
      </c>
      <c r="E416" s="12" t="s">
        <v>633</v>
      </c>
      <c r="F416" s="12" t="s">
        <v>132</v>
      </c>
      <c r="G416" s="12" t="s">
        <v>887</v>
      </c>
      <c r="H416" s="12" t="s">
        <v>731</v>
      </c>
      <c r="I416" s="12" t="s">
        <v>411</v>
      </c>
      <c r="J416" s="12" t="s">
        <v>412</v>
      </c>
      <c r="K416" s="12" t="s">
        <v>413</v>
      </c>
      <c r="L416" s="12" t="s">
        <v>87</v>
      </c>
      <c r="M416" s="11" t="s">
        <v>88</v>
      </c>
    </row>
    <row r="417" customFormat="false" ht="28.35" hidden="false" customHeight="false" outlineLevel="0" collapsed="false">
      <c r="A417" s="11" t="s">
        <v>888</v>
      </c>
      <c r="B417" s="12" t="s">
        <v>50</v>
      </c>
      <c r="C417" s="12" t="s">
        <v>49</v>
      </c>
      <c r="D417" s="12" t="n">
        <v>91</v>
      </c>
      <c r="E417" s="12" t="s">
        <v>633</v>
      </c>
      <c r="F417" s="12" t="s">
        <v>132</v>
      </c>
      <c r="G417" s="12" t="s">
        <v>889</v>
      </c>
      <c r="H417" s="12" t="s">
        <v>731</v>
      </c>
      <c r="I417" s="12" t="s">
        <v>411</v>
      </c>
      <c r="J417" s="12" t="s">
        <v>412</v>
      </c>
      <c r="K417" s="12" t="s">
        <v>413</v>
      </c>
      <c r="L417" s="12" t="s">
        <v>87</v>
      </c>
      <c r="M417" s="11" t="s">
        <v>88</v>
      </c>
    </row>
    <row r="418" customFormat="false" ht="28.35" hidden="false" customHeight="false" outlineLevel="0" collapsed="false">
      <c r="A418" s="11" t="s">
        <v>890</v>
      </c>
      <c r="B418" s="12" t="s">
        <v>50</v>
      </c>
      <c r="C418" s="12" t="s">
        <v>49</v>
      </c>
      <c r="D418" s="12" t="n">
        <v>92</v>
      </c>
      <c r="E418" s="12" t="s">
        <v>633</v>
      </c>
      <c r="F418" s="12" t="s">
        <v>132</v>
      </c>
      <c r="G418" s="12" t="s">
        <v>891</v>
      </c>
      <c r="H418" s="12" t="s">
        <v>731</v>
      </c>
      <c r="I418" s="12" t="s">
        <v>411</v>
      </c>
      <c r="J418" s="12" t="s">
        <v>412</v>
      </c>
      <c r="K418" s="12" t="s">
        <v>413</v>
      </c>
      <c r="L418" s="12" t="s">
        <v>87</v>
      </c>
      <c r="M418" s="11" t="s">
        <v>88</v>
      </c>
    </row>
    <row r="419" customFormat="false" ht="28.35" hidden="false" customHeight="false" outlineLevel="0" collapsed="false">
      <c r="A419" s="11" t="s">
        <v>892</v>
      </c>
      <c r="B419" s="12" t="s">
        <v>50</v>
      </c>
      <c r="C419" s="12" t="s">
        <v>49</v>
      </c>
      <c r="D419" s="12" t="n">
        <v>93</v>
      </c>
      <c r="E419" s="12" t="s">
        <v>633</v>
      </c>
      <c r="F419" s="12" t="s">
        <v>132</v>
      </c>
      <c r="G419" s="12" t="s">
        <v>893</v>
      </c>
      <c r="H419" s="12" t="s">
        <v>731</v>
      </c>
      <c r="I419" s="12" t="s">
        <v>411</v>
      </c>
      <c r="J419" s="12" t="s">
        <v>412</v>
      </c>
      <c r="K419" s="12" t="s">
        <v>413</v>
      </c>
      <c r="L419" s="12" t="s">
        <v>87</v>
      </c>
      <c r="M419" s="11" t="s">
        <v>88</v>
      </c>
    </row>
    <row r="420" customFormat="false" ht="28.35" hidden="false" customHeight="false" outlineLevel="0" collapsed="false">
      <c r="A420" s="11" t="s">
        <v>894</v>
      </c>
      <c r="B420" s="12" t="s">
        <v>50</v>
      </c>
      <c r="C420" s="12" t="s">
        <v>49</v>
      </c>
      <c r="D420" s="12" t="n">
        <v>94</v>
      </c>
      <c r="E420" s="12" t="s">
        <v>447</v>
      </c>
      <c r="F420" s="12" t="s">
        <v>82</v>
      </c>
      <c r="G420" s="12" t="s">
        <v>447</v>
      </c>
      <c r="H420" s="12" t="s">
        <v>731</v>
      </c>
      <c r="I420" s="12" t="s">
        <v>158</v>
      </c>
      <c r="J420" s="12" t="s">
        <v>159</v>
      </c>
      <c r="K420" s="12" t="s">
        <v>19</v>
      </c>
      <c r="L420" s="12" t="s">
        <v>87</v>
      </c>
      <c r="M420" s="11" t="s">
        <v>88</v>
      </c>
    </row>
    <row r="421" customFormat="false" ht="41.75" hidden="false" customHeight="false" outlineLevel="0" collapsed="false">
      <c r="A421" s="11" t="s">
        <v>895</v>
      </c>
      <c r="B421" s="12" t="s">
        <v>50</v>
      </c>
      <c r="C421" s="12" t="s">
        <v>49</v>
      </c>
      <c r="D421" s="12" t="n">
        <v>95</v>
      </c>
      <c r="E421" s="12" t="s">
        <v>447</v>
      </c>
      <c r="F421" s="12" t="s">
        <v>132</v>
      </c>
      <c r="G421" s="12" t="s">
        <v>896</v>
      </c>
      <c r="H421" s="12" t="s">
        <v>731</v>
      </c>
      <c r="I421" s="12" t="s">
        <v>164</v>
      </c>
      <c r="J421" s="12" t="s">
        <v>165</v>
      </c>
      <c r="K421" s="12" t="s">
        <v>16</v>
      </c>
      <c r="L421" s="12" t="s">
        <v>87</v>
      </c>
      <c r="M421" s="11" t="s">
        <v>88</v>
      </c>
    </row>
    <row r="422" customFormat="false" ht="28.35" hidden="false" customHeight="false" outlineLevel="0" collapsed="false">
      <c r="A422" s="11" t="s">
        <v>897</v>
      </c>
      <c r="B422" s="12" t="s">
        <v>50</v>
      </c>
      <c r="C422" s="12" t="s">
        <v>49</v>
      </c>
      <c r="D422" s="12" t="n">
        <v>96</v>
      </c>
      <c r="E422" s="12" t="s">
        <v>447</v>
      </c>
      <c r="F422" s="12" t="s">
        <v>132</v>
      </c>
      <c r="G422" s="12" t="s">
        <v>898</v>
      </c>
      <c r="H422" s="12" t="s">
        <v>731</v>
      </c>
      <c r="I422" s="12" t="s">
        <v>164</v>
      </c>
      <c r="J422" s="12" t="s">
        <v>165</v>
      </c>
      <c r="K422" s="12" t="s">
        <v>16</v>
      </c>
      <c r="L422" s="12" t="s">
        <v>87</v>
      </c>
      <c r="M422" s="11" t="s">
        <v>88</v>
      </c>
    </row>
    <row r="423" customFormat="false" ht="28.35" hidden="false" customHeight="false" outlineLevel="0" collapsed="false">
      <c r="A423" s="11" t="s">
        <v>899</v>
      </c>
      <c r="B423" s="12" t="s">
        <v>50</v>
      </c>
      <c r="C423" s="12" t="s">
        <v>49</v>
      </c>
      <c r="D423" s="12" t="n">
        <v>97</v>
      </c>
      <c r="E423" s="12" t="s">
        <v>447</v>
      </c>
      <c r="F423" s="12" t="s">
        <v>132</v>
      </c>
      <c r="G423" s="12" t="s">
        <v>455</v>
      </c>
      <c r="H423" s="12" t="s">
        <v>731</v>
      </c>
      <c r="I423" s="12" t="s">
        <v>164</v>
      </c>
      <c r="J423" s="12" t="s">
        <v>165</v>
      </c>
      <c r="K423" s="12" t="s">
        <v>16</v>
      </c>
      <c r="L423" s="12" t="s">
        <v>87</v>
      </c>
      <c r="M423" s="11" t="s">
        <v>88</v>
      </c>
    </row>
    <row r="424" customFormat="false" ht="28.35" hidden="false" customHeight="false" outlineLevel="0" collapsed="false">
      <c r="A424" s="11" t="s">
        <v>900</v>
      </c>
      <c r="B424" s="12" t="s">
        <v>50</v>
      </c>
      <c r="C424" s="12" t="s">
        <v>49</v>
      </c>
      <c r="D424" s="12" t="n">
        <v>98</v>
      </c>
      <c r="E424" s="12" t="s">
        <v>447</v>
      </c>
      <c r="F424" s="12" t="s">
        <v>132</v>
      </c>
      <c r="G424" s="12" t="s">
        <v>457</v>
      </c>
      <c r="H424" s="12" t="s">
        <v>731</v>
      </c>
      <c r="I424" s="12" t="s">
        <v>164</v>
      </c>
      <c r="J424" s="12" t="s">
        <v>165</v>
      </c>
      <c r="K424" s="12" t="s">
        <v>16</v>
      </c>
      <c r="L424" s="12" t="s">
        <v>87</v>
      </c>
      <c r="M424" s="11" t="s">
        <v>88</v>
      </c>
    </row>
    <row r="425" customFormat="false" ht="28.35" hidden="false" customHeight="false" outlineLevel="0" collapsed="false">
      <c r="A425" s="11" t="s">
        <v>901</v>
      </c>
      <c r="B425" s="12" t="s">
        <v>50</v>
      </c>
      <c r="C425" s="12" t="s">
        <v>49</v>
      </c>
      <c r="D425" s="12" t="n">
        <v>99</v>
      </c>
      <c r="E425" s="12" t="s">
        <v>447</v>
      </c>
      <c r="F425" s="12" t="s">
        <v>98</v>
      </c>
      <c r="G425" s="12" t="s">
        <v>459</v>
      </c>
      <c r="H425" s="12" t="s">
        <v>731</v>
      </c>
      <c r="I425" s="12" t="s">
        <v>175</v>
      </c>
      <c r="J425" s="12" t="s">
        <v>176</v>
      </c>
      <c r="K425" s="12" t="s">
        <v>22</v>
      </c>
      <c r="L425" s="12" t="s">
        <v>96</v>
      </c>
      <c r="M425" s="11" t="s">
        <v>88</v>
      </c>
    </row>
    <row r="426" customFormat="false" ht="28.35" hidden="false" customHeight="false" outlineLevel="0" collapsed="false">
      <c r="A426" s="11" t="s">
        <v>902</v>
      </c>
      <c r="B426" s="12" t="s">
        <v>50</v>
      </c>
      <c r="C426" s="12" t="s">
        <v>49</v>
      </c>
      <c r="D426" s="12" t="n">
        <v>100</v>
      </c>
      <c r="E426" s="12" t="s">
        <v>447</v>
      </c>
      <c r="F426" s="12" t="s">
        <v>98</v>
      </c>
      <c r="G426" s="12" t="s">
        <v>903</v>
      </c>
      <c r="H426" s="12" t="s">
        <v>731</v>
      </c>
      <c r="I426" s="12" t="s">
        <v>175</v>
      </c>
      <c r="J426" s="12" t="s">
        <v>176</v>
      </c>
      <c r="K426" s="12" t="s">
        <v>22</v>
      </c>
      <c r="L426" s="12" t="s">
        <v>96</v>
      </c>
      <c r="M426" s="11" t="s">
        <v>88</v>
      </c>
    </row>
    <row r="427" customFormat="false" ht="28.35" hidden="false" customHeight="false" outlineLevel="0" collapsed="false">
      <c r="A427" s="11" t="s">
        <v>904</v>
      </c>
      <c r="B427" s="12" t="s">
        <v>50</v>
      </c>
      <c r="C427" s="12" t="s">
        <v>49</v>
      </c>
      <c r="D427" s="12" t="n">
        <v>101</v>
      </c>
      <c r="E427" s="12" t="s">
        <v>447</v>
      </c>
      <c r="F427" s="12" t="s">
        <v>98</v>
      </c>
      <c r="G427" s="12" t="s">
        <v>905</v>
      </c>
      <c r="H427" s="12" t="s">
        <v>731</v>
      </c>
      <c r="I427" s="12" t="s">
        <v>175</v>
      </c>
      <c r="J427" s="12" t="s">
        <v>176</v>
      </c>
      <c r="K427" s="12" t="s">
        <v>22</v>
      </c>
      <c r="L427" s="12" t="s">
        <v>96</v>
      </c>
      <c r="M427" s="11" t="s">
        <v>88</v>
      </c>
    </row>
    <row r="428" customFormat="false" ht="28.35" hidden="false" customHeight="false" outlineLevel="0" collapsed="false">
      <c r="A428" s="11" t="s">
        <v>906</v>
      </c>
      <c r="B428" s="12" t="s">
        <v>50</v>
      </c>
      <c r="C428" s="12" t="s">
        <v>49</v>
      </c>
      <c r="D428" s="12" t="n">
        <v>102</v>
      </c>
      <c r="E428" s="12" t="s">
        <v>447</v>
      </c>
      <c r="F428" s="12" t="s">
        <v>98</v>
      </c>
      <c r="G428" s="12" t="s">
        <v>907</v>
      </c>
      <c r="H428" s="12" t="s">
        <v>731</v>
      </c>
      <c r="I428" s="12" t="s">
        <v>175</v>
      </c>
      <c r="J428" s="12" t="s">
        <v>176</v>
      </c>
      <c r="K428" s="12" t="s">
        <v>22</v>
      </c>
      <c r="L428" s="12" t="s">
        <v>96</v>
      </c>
      <c r="M428" s="11" t="s">
        <v>88</v>
      </c>
    </row>
    <row r="429" customFormat="false" ht="28.35" hidden="false" customHeight="false" outlineLevel="0" collapsed="false">
      <c r="A429" s="11" t="s">
        <v>908</v>
      </c>
      <c r="B429" s="12" t="s">
        <v>50</v>
      </c>
      <c r="C429" s="12" t="s">
        <v>49</v>
      </c>
      <c r="D429" s="12" t="n">
        <v>103</v>
      </c>
      <c r="E429" s="12" t="s">
        <v>467</v>
      </c>
      <c r="F429" s="12" t="s">
        <v>82</v>
      </c>
      <c r="G429" s="12" t="s">
        <v>467</v>
      </c>
      <c r="H429" s="12" t="s">
        <v>731</v>
      </c>
      <c r="I429" s="12" t="s">
        <v>158</v>
      </c>
      <c r="J429" s="12" t="s">
        <v>159</v>
      </c>
      <c r="K429" s="12" t="s">
        <v>19</v>
      </c>
      <c r="L429" s="12" t="s">
        <v>87</v>
      </c>
      <c r="M429" s="11" t="s">
        <v>88</v>
      </c>
    </row>
    <row r="430" customFormat="false" ht="28.35" hidden="false" customHeight="false" outlineLevel="0" collapsed="false">
      <c r="A430" s="11" t="s">
        <v>909</v>
      </c>
      <c r="B430" s="12" t="s">
        <v>50</v>
      </c>
      <c r="C430" s="12" t="s">
        <v>49</v>
      </c>
      <c r="D430" s="12" t="n">
        <v>104</v>
      </c>
      <c r="E430" s="12" t="s">
        <v>467</v>
      </c>
      <c r="F430" s="12" t="s">
        <v>132</v>
      </c>
      <c r="G430" s="12" t="s">
        <v>910</v>
      </c>
      <c r="H430" s="12" t="s">
        <v>731</v>
      </c>
      <c r="I430" s="12" t="s">
        <v>164</v>
      </c>
      <c r="J430" s="12" t="s">
        <v>165</v>
      </c>
      <c r="K430" s="12" t="s">
        <v>16</v>
      </c>
      <c r="L430" s="12" t="s">
        <v>87</v>
      </c>
      <c r="M430" s="11" t="s">
        <v>88</v>
      </c>
    </row>
    <row r="431" customFormat="false" ht="28.35" hidden="false" customHeight="false" outlineLevel="0" collapsed="false">
      <c r="A431" s="11" t="s">
        <v>911</v>
      </c>
      <c r="B431" s="12" t="s">
        <v>50</v>
      </c>
      <c r="C431" s="12" t="s">
        <v>49</v>
      </c>
      <c r="D431" s="12" t="n">
        <v>105</v>
      </c>
      <c r="E431" s="12" t="s">
        <v>467</v>
      </c>
      <c r="F431" s="12" t="s">
        <v>132</v>
      </c>
      <c r="G431" s="12" t="s">
        <v>912</v>
      </c>
      <c r="H431" s="12" t="s">
        <v>731</v>
      </c>
      <c r="I431" s="12" t="s">
        <v>164</v>
      </c>
      <c r="J431" s="12" t="s">
        <v>165</v>
      </c>
      <c r="K431" s="12" t="s">
        <v>16</v>
      </c>
      <c r="L431" s="12" t="s">
        <v>87</v>
      </c>
      <c r="M431" s="11" t="s">
        <v>88</v>
      </c>
    </row>
    <row r="432" customFormat="false" ht="28.35" hidden="false" customHeight="false" outlineLevel="0" collapsed="false">
      <c r="A432" s="11" t="s">
        <v>913</v>
      </c>
      <c r="B432" s="12" t="s">
        <v>50</v>
      </c>
      <c r="C432" s="12" t="s">
        <v>49</v>
      </c>
      <c r="D432" s="12" t="n">
        <v>106</v>
      </c>
      <c r="E432" s="12" t="s">
        <v>467</v>
      </c>
      <c r="F432" s="12" t="s">
        <v>132</v>
      </c>
      <c r="G432" s="12" t="s">
        <v>914</v>
      </c>
      <c r="H432" s="12" t="s">
        <v>731</v>
      </c>
      <c r="I432" s="12" t="s">
        <v>164</v>
      </c>
      <c r="J432" s="12" t="s">
        <v>165</v>
      </c>
      <c r="K432" s="12" t="s">
        <v>16</v>
      </c>
      <c r="L432" s="12" t="s">
        <v>87</v>
      </c>
      <c r="M432" s="11" t="s">
        <v>88</v>
      </c>
    </row>
    <row r="433" customFormat="false" ht="28.35" hidden="false" customHeight="false" outlineLevel="0" collapsed="false">
      <c r="A433" s="11" t="s">
        <v>915</v>
      </c>
      <c r="B433" s="12" t="s">
        <v>50</v>
      </c>
      <c r="C433" s="12" t="s">
        <v>49</v>
      </c>
      <c r="D433" s="12" t="n">
        <v>107</v>
      </c>
      <c r="E433" s="12" t="s">
        <v>467</v>
      </c>
      <c r="F433" s="12" t="s">
        <v>132</v>
      </c>
      <c r="G433" s="12" t="s">
        <v>475</v>
      </c>
      <c r="H433" s="12" t="s">
        <v>731</v>
      </c>
      <c r="I433" s="12" t="s">
        <v>164</v>
      </c>
      <c r="J433" s="12" t="s">
        <v>165</v>
      </c>
      <c r="K433" s="12" t="s">
        <v>16</v>
      </c>
      <c r="L433" s="12" t="s">
        <v>87</v>
      </c>
      <c r="M433" s="11" t="s">
        <v>88</v>
      </c>
    </row>
    <row r="434" customFormat="false" ht="28.35" hidden="false" customHeight="false" outlineLevel="0" collapsed="false">
      <c r="A434" s="11" t="s">
        <v>916</v>
      </c>
      <c r="B434" s="12" t="s">
        <v>50</v>
      </c>
      <c r="C434" s="12" t="s">
        <v>49</v>
      </c>
      <c r="D434" s="12" t="n">
        <v>108</v>
      </c>
      <c r="E434" s="12" t="s">
        <v>917</v>
      </c>
      <c r="F434" s="12" t="s">
        <v>82</v>
      </c>
      <c r="G434" s="12" t="s">
        <v>917</v>
      </c>
      <c r="H434" s="12" t="s">
        <v>731</v>
      </c>
      <c r="I434" s="12" t="s">
        <v>478</v>
      </c>
      <c r="J434" s="12" t="s">
        <v>479</v>
      </c>
      <c r="K434" s="12" t="s">
        <v>28</v>
      </c>
      <c r="L434" s="12" t="s">
        <v>96</v>
      </c>
      <c r="M434" s="11" t="s">
        <v>88</v>
      </c>
    </row>
    <row r="435" customFormat="false" ht="41.75" hidden="false" customHeight="false" outlineLevel="0" collapsed="false">
      <c r="A435" s="11" t="s">
        <v>918</v>
      </c>
      <c r="B435" s="12" t="s">
        <v>50</v>
      </c>
      <c r="C435" s="12" t="s">
        <v>49</v>
      </c>
      <c r="D435" s="12" t="n">
        <v>109</v>
      </c>
      <c r="E435" s="12" t="s">
        <v>917</v>
      </c>
      <c r="F435" s="12" t="s">
        <v>132</v>
      </c>
      <c r="G435" s="12" t="s">
        <v>919</v>
      </c>
      <c r="H435" s="12" t="s">
        <v>731</v>
      </c>
      <c r="I435" s="12" t="s">
        <v>478</v>
      </c>
      <c r="J435" s="12" t="s">
        <v>479</v>
      </c>
      <c r="K435" s="12" t="s">
        <v>28</v>
      </c>
      <c r="L435" s="12" t="s">
        <v>96</v>
      </c>
      <c r="M435" s="11" t="s">
        <v>88</v>
      </c>
    </row>
    <row r="436" customFormat="false" ht="41.75" hidden="false" customHeight="false" outlineLevel="0" collapsed="false">
      <c r="A436" s="11" t="s">
        <v>920</v>
      </c>
      <c r="B436" s="12" t="s">
        <v>50</v>
      </c>
      <c r="C436" s="12" t="s">
        <v>49</v>
      </c>
      <c r="D436" s="12" t="n">
        <v>110</v>
      </c>
      <c r="E436" s="12" t="s">
        <v>917</v>
      </c>
      <c r="F436" s="12" t="s">
        <v>132</v>
      </c>
      <c r="G436" s="12" t="s">
        <v>921</v>
      </c>
      <c r="H436" s="12" t="s">
        <v>731</v>
      </c>
      <c r="I436" s="12" t="s">
        <v>478</v>
      </c>
      <c r="J436" s="12" t="s">
        <v>479</v>
      </c>
      <c r="K436" s="12" t="s">
        <v>28</v>
      </c>
      <c r="L436" s="12" t="s">
        <v>96</v>
      </c>
      <c r="M436" s="11" t="s">
        <v>88</v>
      </c>
    </row>
    <row r="437" customFormat="false" ht="41.75" hidden="false" customHeight="false" outlineLevel="0" collapsed="false">
      <c r="A437" s="11" t="s">
        <v>922</v>
      </c>
      <c r="B437" s="12" t="s">
        <v>50</v>
      </c>
      <c r="C437" s="12" t="s">
        <v>49</v>
      </c>
      <c r="D437" s="12" t="n">
        <v>111</v>
      </c>
      <c r="E437" s="12" t="s">
        <v>917</v>
      </c>
      <c r="F437" s="12" t="s">
        <v>132</v>
      </c>
      <c r="G437" s="12" t="s">
        <v>923</v>
      </c>
      <c r="H437" s="12" t="s">
        <v>731</v>
      </c>
      <c r="I437" s="12" t="s">
        <v>478</v>
      </c>
      <c r="J437" s="12" t="s">
        <v>479</v>
      </c>
      <c r="K437" s="12" t="s">
        <v>28</v>
      </c>
      <c r="L437" s="12" t="s">
        <v>96</v>
      </c>
      <c r="M437" s="11" t="s">
        <v>88</v>
      </c>
    </row>
    <row r="438" customFormat="false" ht="41.75" hidden="false" customHeight="false" outlineLevel="0" collapsed="false">
      <c r="A438" s="11" t="s">
        <v>924</v>
      </c>
      <c r="B438" s="12" t="s">
        <v>50</v>
      </c>
      <c r="C438" s="12" t="s">
        <v>49</v>
      </c>
      <c r="D438" s="12" t="n">
        <v>112</v>
      </c>
      <c r="E438" s="12" t="s">
        <v>917</v>
      </c>
      <c r="F438" s="12" t="s">
        <v>132</v>
      </c>
      <c r="G438" s="12" t="s">
        <v>925</v>
      </c>
      <c r="H438" s="12" t="s">
        <v>731</v>
      </c>
      <c r="I438" s="12" t="s">
        <v>478</v>
      </c>
      <c r="J438" s="12" t="s">
        <v>479</v>
      </c>
      <c r="K438" s="12" t="s">
        <v>28</v>
      </c>
      <c r="L438" s="12" t="s">
        <v>96</v>
      </c>
      <c r="M438" s="11" t="s">
        <v>88</v>
      </c>
    </row>
    <row r="439" customFormat="false" ht="41.75" hidden="false" customHeight="false" outlineLevel="0" collapsed="false">
      <c r="A439" s="11" t="s">
        <v>926</v>
      </c>
      <c r="B439" s="12" t="s">
        <v>50</v>
      </c>
      <c r="C439" s="12" t="s">
        <v>49</v>
      </c>
      <c r="D439" s="12" t="n">
        <v>113</v>
      </c>
      <c r="E439" s="12" t="s">
        <v>917</v>
      </c>
      <c r="F439" s="12" t="s">
        <v>132</v>
      </c>
      <c r="G439" s="12" t="s">
        <v>927</v>
      </c>
      <c r="H439" s="12" t="s">
        <v>731</v>
      </c>
      <c r="I439" s="12" t="s">
        <v>478</v>
      </c>
      <c r="J439" s="12" t="s">
        <v>479</v>
      </c>
      <c r="K439" s="12" t="s">
        <v>28</v>
      </c>
      <c r="L439" s="12" t="s">
        <v>96</v>
      </c>
      <c r="M439" s="11" t="s">
        <v>88</v>
      </c>
    </row>
    <row r="440" customFormat="false" ht="28.35" hidden="false" customHeight="false" outlineLevel="0" collapsed="false">
      <c r="A440" s="11" t="s">
        <v>928</v>
      </c>
      <c r="B440" s="12" t="s">
        <v>50</v>
      </c>
      <c r="C440" s="12" t="s">
        <v>49</v>
      </c>
      <c r="D440" s="12" t="n">
        <v>114</v>
      </c>
      <c r="E440" s="12" t="s">
        <v>917</v>
      </c>
      <c r="F440" s="12" t="s">
        <v>98</v>
      </c>
      <c r="G440" s="12" t="s">
        <v>491</v>
      </c>
      <c r="H440" s="12" t="s">
        <v>731</v>
      </c>
      <c r="I440" s="12" t="s">
        <v>478</v>
      </c>
      <c r="J440" s="12" t="s">
        <v>479</v>
      </c>
      <c r="K440" s="12" t="s">
        <v>28</v>
      </c>
      <c r="L440" s="12" t="s">
        <v>96</v>
      </c>
      <c r="M440" s="11" t="s">
        <v>88</v>
      </c>
    </row>
    <row r="441" customFormat="false" ht="28.35" hidden="false" customHeight="false" outlineLevel="0" collapsed="false">
      <c r="A441" s="11" t="s">
        <v>929</v>
      </c>
      <c r="B441" s="12" t="s">
        <v>50</v>
      </c>
      <c r="C441" s="12" t="s">
        <v>49</v>
      </c>
      <c r="D441" s="12" t="n">
        <v>115</v>
      </c>
      <c r="E441" s="12" t="s">
        <v>917</v>
      </c>
      <c r="F441" s="12" t="s">
        <v>132</v>
      </c>
      <c r="G441" s="12" t="s">
        <v>930</v>
      </c>
      <c r="H441" s="12" t="s">
        <v>731</v>
      </c>
      <c r="I441" s="12" t="s">
        <v>478</v>
      </c>
      <c r="J441" s="12" t="s">
        <v>479</v>
      </c>
      <c r="K441" s="12" t="s">
        <v>28</v>
      </c>
      <c r="L441" s="12" t="s">
        <v>96</v>
      </c>
      <c r="M441" s="11" t="s">
        <v>88</v>
      </c>
    </row>
    <row r="442" customFormat="false" ht="28.35" hidden="false" customHeight="false" outlineLevel="0" collapsed="false">
      <c r="A442" s="11" t="s">
        <v>931</v>
      </c>
      <c r="B442" s="12" t="s">
        <v>50</v>
      </c>
      <c r="C442" s="12" t="s">
        <v>49</v>
      </c>
      <c r="D442" s="12" t="n">
        <v>116</v>
      </c>
      <c r="E442" s="12" t="s">
        <v>917</v>
      </c>
      <c r="F442" s="12" t="s">
        <v>132</v>
      </c>
      <c r="G442" s="12" t="s">
        <v>720</v>
      </c>
      <c r="H442" s="12" t="s">
        <v>731</v>
      </c>
      <c r="I442" s="12" t="s">
        <v>478</v>
      </c>
      <c r="J442" s="12" t="s">
        <v>479</v>
      </c>
      <c r="K442" s="12" t="s">
        <v>28</v>
      </c>
      <c r="L442" s="12" t="s">
        <v>96</v>
      </c>
      <c r="M442" s="11" t="s">
        <v>88</v>
      </c>
    </row>
    <row r="443" customFormat="false" ht="28.35" hidden="false" customHeight="false" outlineLevel="0" collapsed="false">
      <c r="A443" s="11" t="s">
        <v>932</v>
      </c>
      <c r="B443" s="12" t="s">
        <v>50</v>
      </c>
      <c r="C443" s="12" t="s">
        <v>49</v>
      </c>
      <c r="D443" s="12" t="n">
        <v>117</v>
      </c>
      <c r="E443" s="12" t="s">
        <v>917</v>
      </c>
      <c r="F443" s="12" t="s">
        <v>132</v>
      </c>
      <c r="G443" s="12" t="s">
        <v>933</v>
      </c>
      <c r="H443" s="12" t="s">
        <v>731</v>
      </c>
      <c r="I443" s="12" t="s">
        <v>478</v>
      </c>
      <c r="J443" s="12" t="s">
        <v>479</v>
      </c>
      <c r="K443" s="12" t="s">
        <v>28</v>
      </c>
      <c r="L443" s="12" t="s">
        <v>96</v>
      </c>
      <c r="M443" s="11" t="s">
        <v>88</v>
      </c>
    </row>
    <row r="444" customFormat="false" ht="28.35" hidden="false" customHeight="false" outlineLevel="0" collapsed="false">
      <c r="A444" s="11" t="s">
        <v>934</v>
      </c>
      <c r="B444" s="12" t="s">
        <v>50</v>
      </c>
      <c r="C444" s="12" t="s">
        <v>49</v>
      </c>
      <c r="D444" s="12" t="n">
        <v>118</v>
      </c>
      <c r="E444" s="12" t="s">
        <v>917</v>
      </c>
      <c r="F444" s="12" t="s">
        <v>132</v>
      </c>
      <c r="G444" s="12" t="s">
        <v>935</v>
      </c>
      <c r="H444" s="12" t="s">
        <v>731</v>
      </c>
      <c r="I444" s="12" t="s">
        <v>478</v>
      </c>
      <c r="J444" s="12" t="s">
        <v>479</v>
      </c>
      <c r="K444" s="12" t="s">
        <v>28</v>
      </c>
      <c r="L444" s="12" t="s">
        <v>96</v>
      </c>
      <c r="M444" s="11" t="s">
        <v>88</v>
      </c>
    </row>
    <row r="445" customFormat="false" ht="28.35" hidden="false" customHeight="false" outlineLevel="0" collapsed="false">
      <c r="A445" s="11" t="s">
        <v>936</v>
      </c>
      <c r="B445" s="12" t="s">
        <v>50</v>
      </c>
      <c r="C445" s="12" t="s">
        <v>49</v>
      </c>
      <c r="D445" s="12" t="n">
        <v>119</v>
      </c>
      <c r="E445" s="12" t="s">
        <v>917</v>
      </c>
      <c r="F445" s="12" t="s">
        <v>132</v>
      </c>
      <c r="G445" s="12" t="s">
        <v>937</v>
      </c>
      <c r="H445" s="12" t="s">
        <v>731</v>
      </c>
      <c r="I445" s="12" t="s">
        <v>478</v>
      </c>
      <c r="J445" s="12" t="s">
        <v>479</v>
      </c>
      <c r="K445" s="12" t="s">
        <v>28</v>
      </c>
      <c r="L445" s="12" t="s">
        <v>96</v>
      </c>
      <c r="M445" s="11" t="s">
        <v>88</v>
      </c>
    </row>
    <row r="446" customFormat="false" ht="28.35" hidden="false" customHeight="false" outlineLevel="0" collapsed="false">
      <c r="A446" s="11" t="s">
        <v>938</v>
      </c>
      <c r="B446" s="12" t="s">
        <v>50</v>
      </c>
      <c r="C446" s="12" t="s">
        <v>49</v>
      </c>
      <c r="D446" s="12" t="n">
        <v>120</v>
      </c>
      <c r="E446" s="12" t="s">
        <v>917</v>
      </c>
      <c r="F446" s="12" t="s">
        <v>132</v>
      </c>
      <c r="G446" s="12" t="s">
        <v>939</v>
      </c>
      <c r="H446" s="12" t="s">
        <v>731</v>
      </c>
      <c r="I446" s="12" t="s">
        <v>478</v>
      </c>
      <c r="J446" s="12" t="s">
        <v>479</v>
      </c>
      <c r="K446" s="12" t="s">
        <v>28</v>
      </c>
      <c r="L446" s="12" t="s">
        <v>96</v>
      </c>
      <c r="M446" s="11" t="s">
        <v>88</v>
      </c>
    </row>
    <row r="447" customFormat="false" ht="28.35" hidden="false" customHeight="false" outlineLevel="0" collapsed="false">
      <c r="A447" s="11" t="s">
        <v>940</v>
      </c>
      <c r="B447" s="12" t="s">
        <v>52</v>
      </c>
      <c r="C447" s="12" t="s">
        <v>51</v>
      </c>
      <c r="D447" s="12" t="n">
        <v>1</v>
      </c>
      <c r="E447" s="12" t="s">
        <v>941</v>
      </c>
      <c r="F447" s="12" t="s">
        <v>82</v>
      </c>
      <c r="G447" s="12" t="s">
        <v>941</v>
      </c>
      <c r="H447" s="12" t="s">
        <v>942</v>
      </c>
      <c r="I447" s="12" t="s">
        <v>158</v>
      </c>
      <c r="J447" s="12" t="s">
        <v>159</v>
      </c>
      <c r="K447" s="12" t="s">
        <v>19</v>
      </c>
      <c r="L447" s="12" t="s">
        <v>87</v>
      </c>
      <c r="M447" s="11" t="s">
        <v>88</v>
      </c>
    </row>
    <row r="448" customFormat="false" ht="28.35" hidden="false" customHeight="false" outlineLevel="0" collapsed="false">
      <c r="A448" s="11" t="s">
        <v>943</v>
      </c>
      <c r="B448" s="12" t="s">
        <v>52</v>
      </c>
      <c r="C448" s="12" t="s">
        <v>51</v>
      </c>
      <c r="D448" s="12" t="n">
        <v>2</v>
      </c>
      <c r="E448" s="12" t="s">
        <v>944</v>
      </c>
      <c r="F448" s="12" t="s">
        <v>82</v>
      </c>
      <c r="G448" s="12" t="s">
        <v>944</v>
      </c>
      <c r="H448" s="12" t="s">
        <v>731</v>
      </c>
      <c r="I448" s="12" t="s">
        <v>354</v>
      </c>
      <c r="J448" s="12" t="s">
        <v>355</v>
      </c>
      <c r="K448" s="12" t="s">
        <v>25</v>
      </c>
      <c r="L448" s="12" t="s">
        <v>96</v>
      </c>
      <c r="M448" s="11" t="s">
        <v>170</v>
      </c>
    </row>
    <row r="449" customFormat="false" ht="28.35" hidden="false" customHeight="false" outlineLevel="0" collapsed="false">
      <c r="A449" s="11" t="s">
        <v>945</v>
      </c>
      <c r="B449" s="12" t="s">
        <v>52</v>
      </c>
      <c r="C449" s="12" t="s">
        <v>51</v>
      </c>
      <c r="D449" s="12" t="n">
        <v>3</v>
      </c>
      <c r="E449" s="12" t="s">
        <v>92</v>
      </c>
      <c r="F449" s="12" t="s">
        <v>82</v>
      </c>
      <c r="G449" s="12" t="s">
        <v>92</v>
      </c>
      <c r="H449" s="12" t="s">
        <v>942</v>
      </c>
      <c r="I449" s="12" t="s">
        <v>93</v>
      </c>
      <c r="J449" s="12" t="s">
        <v>94</v>
      </c>
      <c r="K449" s="12" t="s">
        <v>95</v>
      </c>
      <c r="L449" s="12" t="s">
        <v>96</v>
      </c>
      <c r="M449" s="11" t="s">
        <v>88</v>
      </c>
    </row>
    <row r="450" customFormat="false" ht="28.35" hidden="false" customHeight="false" outlineLevel="0" collapsed="false">
      <c r="A450" s="11" t="s">
        <v>946</v>
      </c>
      <c r="B450" s="12" t="s">
        <v>52</v>
      </c>
      <c r="C450" s="12" t="s">
        <v>51</v>
      </c>
      <c r="D450" s="12" t="n">
        <v>4</v>
      </c>
      <c r="E450" s="12" t="s">
        <v>92</v>
      </c>
      <c r="F450" s="12" t="s">
        <v>98</v>
      </c>
      <c r="G450" s="12" t="s">
        <v>99</v>
      </c>
      <c r="H450" s="12" t="s">
        <v>942</v>
      </c>
      <c r="I450" s="12" t="s">
        <v>93</v>
      </c>
      <c r="J450" s="12" t="s">
        <v>94</v>
      </c>
      <c r="K450" s="12" t="s">
        <v>95</v>
      </c>
      <c r="L450" s="12" t="s">
        <v>96</v>
      </c>
      <c r="M450" s="11" t="s">
        <v>88</v>
      </c>
    </row>
    <row r="451" customFormat="false" ht="28.35" hidden="false" customHeight="false" outlineLevel="0" collapsed="false">
      <c r="A451" s="11" t="s">
        <v>947</v>
      </c>
      <c r="B451" s="12" t="s">
        <v>52</v>
      </c>
      <c r="C451" s="12" t="s">
        <v>51</v>
      </c>
      <c r="D451" s="12" t="n">
        <v>5</v>
      </c>
      <c r="E451" s="12" t="s">
        <v>92</v>
      </c>
      <c r="F451" s="12" t="s">
        <v>98</v>
      </c>
      <c r="G451" s="12" t="s">
        <v>948</v>
      </c>
      <c r="H451" s="12" t="s">
        <v>942</v>
      </c>
      <c r="I451" s="12" t="s">
        <v>93</v>
      </c>
      <c r="J451" s="12" t="s">
        <v>94</v>
      </c>
      <c r="K451" s="12" t="s">
        <v>95</v>
      </c>
      <c r="L451" s="12" t="s">
        <v>96</v>
      </c>
      <c r="M451" s="11" t="s">
        <v>88</v>
      </c>
    </row>
    <row r="452" customFormat="false" ht="28.35" hidden="false" customHeight="false" outlineLevel="0" collapsed="false">
      <c r="A452" s="11" t="s">
        <v>949</v>
      </c>
      <c r="B452" s="12" t="s">
        <v>52</v>
      </c>
      <c r="C452" s="12" t="s">
        <v>51</v>
      </c>
      <c r="D452" s="12" t="n">
        <v>6</v>
      </c>
      <c r="E452" s="12" t="s">
        <v>92</v>
      </c>
      <c r="F452" s="12" t="s">
        <v>98</v>
      </c>
      <c r="G452" s="12" t="s">
        <v>950</v>
      </c>
      <c r="H452" s="12" t="s">
        <v>942</v>
      </c>
      <c r="I452" s="12" t="s">
        <v>93</v>
      </c>
      <c r="J452" s="12" t="s">
        <v>94</v>
      </c>
      <c r="K452" s="12" t="s">
        <v>95</v>
      </c>
      <c r="L452" s="12" t="s">
        <v>96</v>
      </c>
      <c r="M452" s="11" t="s">
        <v>88</v>
      </c>
    </row>
    <row r="453" customFormat="false" ht="28.35" hidden="false" customHeight="false" outlineLevel="0" collapsed="false">
      <c r="A453" s="11" t="s">
        <v>951</v>
      </c>
      <c r="B453" s="12" t="s">
        <v>52</v>
      </c>
      <c r="C453" s="12" t="s">
        <v>51</v>
      </c>
      <c r="D453" s="12" t="n">
        <v>7</v>
      </c>
      <c r="E453" s="12" t="s">
        <v>92</v>
      </c>
      <c r="F453" s="12" t="s">
        <v>98</v>
      </c>
      <c r="G453" s="12" t="s">
        <v>952</v>
      </c>
      <c r="H453" s="12" t="s">
        <v>942</v>
      </c>
      <c r="I453" s="12" t="s">
        <v>93</v>
      </c>
      <c r="J453" s="12" t="s">
        <v>94</v>
      </c>
      <c r="K453" s="12" t="s">
        <v>95</v>
      </c>
      <c r="L453" s="12" t="s">
        <v>96</v>
      </c>
      <c r="M453" s="11" t="s">
        <v>88</v>
      </c>
    </row>
    <row r="454" customFormat="false" ht="28.35" hidden="false" customHeight="false" outlineLevel="0" collapsed="false">
      <c r="A454" s="11" t="s">
        <v>953</v>
      </c>
      <c r="B454" s="12" t="s">
        <v>52</v>
      </c>
      <c r="C454" s="12" t="s">
        <v>51</v>
      </c>
      <c r="D454" s="12" t="n">
        <v>8</v>
      </c>
      <c r="E454" s="12" t="s">
        <v>92</v>
      </c>
      <c r="F454" s="12" t="s">
        <v>98</v>
      </c>
      <c r="G454" s="12" t="s">
        <v>954</v>
      </c>
      <c r="H454" s="12" t="s">
        <v>942</v>
      </c>
      <c r="I454" s="12" t="s">
        <v>93</v>
      </c>
      <c r="J454" s="12" t="s">
        <v>94</v>
      </c>
      <c r="K454" s="12" t="s">
        <v>95</v>
      </c>
      <c r="L454" s="12" t="s">
        <v>96</v>
      </c>
      <c r="M454" s="11" t="s">
        <v>88</v>
      </c>
    </row>
    <row r="455" customFormat="false" ht="28.35" hidden="false" customHeight="false" outlineLevel="0" collapsed="false">
      <c r="A455" s="11" t="s">
        <v>955</v>
      </c>
      <c r="B455" s="12" t="s">
        <v>52</v>
      </c>
      <c r="C455" s="12" t="s">
        <v>51</v>
      </c>
      <c r="D455" s="12" t="n">
        <v>9</v>
      </c>
      <c r="E455" s="12" t="s">
        <v>92</v>
      </c>
      <c r="F455" s="12" t="s">
        <v>98</v>
      </c>
      <c r="G455" s="12" t="s">
        <v>272</v>
      </c>
      <c r="H455" s="12" t="s">
        <v>942</v>
      </c>
      <c r="I455" s="12" t="s">
        <v>93</v>
      </c>
      <c r="J455" s="12" t="s">
        <v>94</v>
      </c>
      <c r="K455" s="12" t="s">
        <v>95</v>
      </c>
      <c r="L455" s="12" t="s">
        <v>96</v>
      </c>
      <c r="M455" s="11" t="s">
        <v>88</v>
      </c>
    </row>
    <row r="456" customFormat="false" ht="55.2" hidden="false" customHeight="false" outlineLevel="0" collapsed="false">
      <c r="A456" s="11" t="s">
        <v>956</v>
      </c>
      <c r="B456" s="12" t="s">
        <v>52</v>
      </c>
      <c r="C456" s="12" t="s">
        <v>51</v>
      </c>
      <c r="D456" s="12" t="n">
        <v>10</v>
      </c>
      <c r="E456" s="12" t="s">
        <v>92</v>
      </c>
      <c r="F456" s="12" t="s">
        <v>98</v>
      </c>
      <c r="G456" s="12" t="s">
        <v>957</v>
      </c>
      <c r="H456" s="12" t="s">
        <v>731</v>
      </c>
      <c r="I456" s="12" t="s">
        <v>93</v>
      </c>
      <c r="J456" s="12" t="s">
        <v>94</v>
      </c>
      <c r="K456" s="12" t="s">
        <v>95</v>
      </c>
      <c r="L456" s="12" t="s">
        <v>96</v>
      </c>
      <c r="M456" s="11" t="s">
        <v>88</v>
      </c>
    </row>
    <row r="457" customFormat="false" ht="28.35" hidden="false" customHeight="false" outlineLevel="0" collapsed="false">
      <c r="A457" s="11" t="s">
        <v>958</v>
      </c>
      <c r="B457" s="12" t="s">
        <v>52</v>
      </c>
      <c r="C457" s="12" t="s">
        <v>51</v>
      </c>
      <c r="D457" s="12" t="n">
        <v>11</v>
      </c>
      <c r="E457" s="12" t="s">
        <v>959</v>
      </c>
      <c r="F457" s="12" t="s">
        <v>82</v>
      </c>
      <c r="G457" s="12" t="s">
        <v>959</v>
      </c>
      <c r="H457" s="12" t="s">
        <v>942</v>
      </c>
      <c r="I457" s="12" t="s">
        <v>93</v>
      </c>
      <c r="J457" s="12" t="s">
        <v>94</v>
      </c>
      <c r="K457" s="12" t="s">
        <v>95</v>
      </c>
      <c r="L457" s="12" t="s">
        <v>96</v>
      </c>
      <c r="M457" s="11" t="s">
        <v>88</v>
      </c>
    </row>
    <row r="458" customFormat="false" ht="28.35" hidden="false" customHeight="false" outlineLevel="0" collapsed="false">
      <c r="A458" s="11" t="s">
        <v>960</v>
      </c>
      <c r="B458" s="12" t="s">
        <v>52</v>
      </c>
      <c r="C458" s="12" t="s">
        <v>51</v>
      </c>
      <c r="D458" s="12" t="n">
        <v>12</v>
      </c>
      <c r="E458" s="12" t="s">
        <v>959</v>
      </c>
      <c r="F458" s="12" t="s">
        <v>98</v>
      </c>
      <c r="G458" s="12" t="s">
        <v>115</v>
      </c>
      <c r="H458" s="12" t="s">
        <v>942</v>
      </c>
      <c r="I458" s="12" t="s">
        <v>93</v>
      </c>
      <c r="J458" s="12" t="s">
        <v>94</v>
      </c>
      <c r="K458" s="12" t="s">
        <v>95</v>
      </c>
      <c r="L458" s="12" t="s">
        <v>96</v>
      </c>
      <c r="M458" s="11" t="s">
        <v>88</v>
      </c>
    </row>
    <row r="459" customFormat="false" ht="28.35" hidden="false" customHeight="false" outlineLevel="0" collapsed="false">
      <c r="A459" s="11" t="s">
        <v>961</v>
      </c>
      <c r="B459" s="12" t="s">
        <v>52</v>
      </c>
      <c r="C459" s="12" t="s">
        <v>51</v>
      </c>
      <c r="D459" s="12" t="n">
        <v>13</v>
      </c>
      <c r="E459" s="12" t="s">
        <v>959</v>
      </c>
      <c r="F459" s="12" t="s">
        <v>98</v>
      </c>
      <c r="G459" s="12" t="s">
        <v>117</v>
      </c>
      <c r="H459" s="12" t="s">
        <v>942</v>
      </c>
      <c r="I459" s="12" t="s">
        <v>93</v>
      </c>
      <c r="J459" s="12" t="s">
        <v>94</v>
      </c>
      <c r="K459" s="12" t="s">
        <v>95</v>
      </c>
      <c r="L459" s="12" t="s">
        <v>96</v>
      </c>
      <c r="M459" s="11" t="s">
        <v>88</v>
      </c>
    </row>
    <row r="460" customFormat="false" ht="28.35" hidden="false" customHeight="false" outlineLevel="0" collapsed="false">
      <c r="A460" s="11" t="s">
        <v>962</v>
      </c>
      <c r="B460" s="12" t="s">
        <v>52</v>
      </c>
      <c r="C460" s="12" t="s">
        <v>51</v>
      </c>
      <c r="D460" s="12" t="n">
        <v>14</v>
      </c>
      <c r="E460" s="12" t="s">
        <v>959</v>
      </c>
      <c r="F460" s="12" t="s">
        <v>98</v>
      </c>
      <c r="G460" s="12" t="s">
        <v>963</v>
      </c>
      <c r="H460" s="12" t="s">
        <v>942</v>
      </c>
      <c r="I460" s="12" t="s">
        <v>93</v>
      </c>
      <c r="J460" s="12" t="s">
        <v>94</v>
      </c>
      <c r="K460" s="12" t="s">
        <v>95</v>
      </c>
      <c r="L460" s="12" t="s">
        <v>96</v>
      </c>
      <c r="M460" s="11" t="s">
        <v>88</v>
      </c>
    </row>
    <row r="461" customFormat="false" ht="28.35" hidden="false" customHeight="false" outlineLevel="0" collapsed="false">
      <c r="A461" s="11" t="s">
        <v>964</v>
      </c>
      <c r="B461" s="12" t="s">
        <v>52</v>
      </c>
      <c r="C461" s="12" t="s">
        <v>51</v>
      </c>
      <c r="D461" s="12" t="n">
        <v>15</v>
      </c>
      <c r="E461" s="12" t="s">
        <v>959</v>
      </c>
      <c r="F461" s="12" t="s">
        <v>98</v>
      </c>
      <c r="G461" s="12" t="s">
        <v>965</v>
      </c>
      <c r="H461" s="12" t="s">
        <v>942</v>
      </c>
      <c r="I461" s="12" t="s">
        <v>93</v>
      </c>
      <c r="J461" s="12" t="s">
        <v>94</v>
      </c>
      <c r="K461" s="12" t="s">
        <v>95</v>
      </c>
      <c r="L461" s="12" t="s">
        <v>96</v>
      </c>
      <c r="M461" s="11" t="s">
        <v>88</v>
      </c>
    </row>
    <row r="462" customFormat="false" ht="28.35" hidden="false" customHeight="false" outlineLevel="0" collapsed="false">
      <c r="A462" s="11" t="s">
        <v>966</v>
      </c>
      <c r="B462" s="12" t="s">
        <v>52</v>
      </c>
      <c r="C462" s="12" t="s">
        <v>51</v>
      </c>
      <c r="D462" s="12" t="n">
        <v>16</v>
      </c>
      <c r="E462" s="12" t="s">
        <v>959</v>
      </c>
      <c r="F462" s="12" t="s">
        <v>98</v>
      </c>
      <c r="G462" s="12" t="s">
        <v>967</v>
      </c>
      <c r="H462" s="12" t="s">
        <v>942</v>
      </c>
      <c r="I462" s="12" t="s">
        <v>93</v>
      </c>
      <c r="J462" s="12" t="s">
        <v>94</v>
      </c>
      <c r="K462" s="12" t="s">
        <v>95</v>
      </c>
      <c r="L462" s="12" t="s">
        <v>96</v>
      </c>
      <c r="M462" s="11" t="s">
        <v>88</v>
      </c>
    </row>
    <row r="463" customFormat="false" ht="28.35" hidden="false" customHeight="false" outlineLevel="0" collapsed="false">
      <c r="A463" s="11" t="s">
        <v>968</v>
      </c>
      <c r="B463" s="12" t="s">
        <v>52</v>
      </c>
      <c r="C463" s="12" t="s">
        <v>51</v>
      </c>
      <c r="D463" s="12" t="n">
        <v>17</v>
      </c>
      <c r="E463" s="12" t="s">
        <v>959</v>
      </c>
      <c r="F463" s="12" t="s">
        <v>98</v>
      </c>
      <c r="G463" s="12" t="s">
        <v>969</v>
      </c>
      <c r="H463" s="12" t="s">
        <v>942</v>
      </c>
      <c r="I463" s="12" t="s">
        <v>93</v>
      </c>
      <c r="J463" s="12" t="s">
        <v>94</v>
      </c>
      <c r="K463" s="12" t="s">
        <v>95</v>
      </c>
      <c r="L463" s="12" t="s">
        <v>96</v>
      </c>
      <c r="M463" s="11" t="s">
        <v>88</v>
      </c>
    </row>
    <row r="464" customFormat="false" ht="28.35" hidden="false" customHeight="false" outlineLevel="0" collapsed="false">
      <c r="A464" s="11" t="s">
        <v>970</v>
      </c>
      <c r="B464" s="12" t="s">
        <v>52</v>
      </c>
      <c r="C464" s="12" t="s">
        <v>51</v>
      </c>
      <c r="D464" s="12" t="n">
        <v>18</v>
      </c>
      <c r="E464" s="12" t="s">
        <v>959</v>
      </c>
      <c r="F464" s="12" t="s">
        <v>98</v>
      </c>
      <c r="G464" s="12" t="s">
        <v>971</v>
      </c>
      <c r="H464" s="12" t="s">
        <v>942</v>
      </c>
      <c r="I464" s="12" t="s">
        <v>93</v>
      </c>
      <c r="J464" s="12" t="s">
        <v>94</v>
      </c>
      <c r="K464" s="12" t="s">
        <v>95</v>
      </c>
      <c r="L464" s="12" t="s">
        <v>96</v>
      </c>
      <c r="M464" s="11" t="s">
        <v>88</v>
      </c>
    </row>
    <row r="465" customFormat="false" ht="28.35" hidden="false" customHeight="false" outlineLevel="0" collapsed="false">
      <c r="A465" s="11" t="s">
        <v>972</v>
      </c>
      <c r="B465" s="12" t="s">
        <v>52</v>
      </c>
      <c r="C465" s="12" t="s">
        <v>51</v>
      </c>
      <c r="D465" s="12" t="n">
        <v>19</v>
      </c>
      <c r="E465" s="12" t="s">
        <v>959</v>
      </c>
      <c r="F465" s="12" t="s">
        <v>98</v>
      </c>
      <c r="G465" s="12" t="s">
        <v>973</v>
      </c>
      <c r="H465" s="12" t="s">
        <v>942</v>
      </c>
      <c r="I465" s="12" t="s">
        <v>93</v>
      </c>
      <c r="J465" s="12" t="s">
        <v>94</v>
      </c>
      <c r="K465" s="12" t="s">
        <v>95</v>
      </c>
      <c r="L465" s="12" t="s">
        <v>96</v>
      </c>
      <c r="M465" s="11" t="s">
        <v>88</v>
      </c>
    </row>
    <row r="466" customFormat="false" ht="28.35" hidden="false" customHeight="false" outlineLevel="0" collapsed="false">
      <c r="A466" s="11" t="s">
        <v>974</v>
      </c>
      <c r="B466" s="12" t="s">
        <v>52</v>
      </c>
      <c r="C466" s="12" t="s">
        <v>51</v>
      </c>
      <c r="D466" s="12" t="n">
        <v>20</v>
      </c>
      <c r="E466" s="12" t="s">
        <v>959</v>
      </c>
      <c r="F466" s="12" t="s">
        <v>98</v>
      </c>
      <c r="G466" s="12" t="s">
        <v>975</v>
      </c>
      <c r="H466" s="12" t="s">
        <v>942</v>
      </c>
      <c r="I466" s="12" t="s">
        <v>93</v>
      </c>
      <c r="J466" s="12" t="s">
        <v>94</v>
      </c>
      <c r="K466" s="12" t="s">
        <v>95</v>
      </c>
      <c r="L466" s="12" t="s">
        <v>96</v>
      </c>
      <c r="M466" s="11" t="s">
        <v>88</v>
      </c>
    </row>
    <row r="467" customFormat="false" ht="28.35" hidden="false" customHeight="false" outlineLevel="0" collapsed="false">
      <c r="A467" s="11" t="s">
        <v>976</v>
      </c>
      <c r="B467" s="12" t="s">
        <v>52</v>
      </c>
      <c r="C467" s="12" t="s">
        <v>51</v>
      </c>
      <c r="D467" s="12" t="n">
        <v>21</v>
      </c>
      <c r="E467" s="12" t="s">
        <v>959</v>
      </c>
      <c r="F467" s="12" t="s">
        <v>98</v>
      </c>
      <c r="G467" s="12" t="s">
        <v>977</v>
      </c>
      <c r="H467" s="12" t="s">
        <v>942</v>
      </c>
      <c r="I467" s="12" t="s">
        <v>93</v>
      </c>
      <c r="J467" s="12" t="s">
        <v>94</v>
      </c>
      <c r="K467" s="12" t="s">
        <v>95</v>
      </c>
      <c r="L467" s="12" t="s">
        <v>96</v>
      </c>
      <c r="M467" s="11" t="s">
        <v>88</v>
      </c>
    </row>
    <row r="468" customFormat="false" ht="28.35" hidden="false" customHeight="false" outlineLevel="0" collapsed="false">
      <c r="A468" s="11" t="s">
        <v>978</v>
      </c>
      <c r="B468" s="12" t="s">
        <v>52</v>
      </c>
      <c r="C468" s="12" t="s">
        <v>51</v>
      </c>
      <c r="D468" s="12" t="n">
        <v>22</v>
      </c>
      <c r="E468" s="12" t="s">
        <v>959</v>
      </c>
      <c r="F468" s="12" t="s">
        <v>98</v>
      </c>
      <c r="G468" s="12" t="s">
        <v>979</v>
      </c>
      <c r="H468" s="12" t="s">
        <v>942</v>
      </c>
      <c r="I468" s="12" t="s">
        <v>93</v>
      </c>
      <c r="J468" s="12" t="s">
        <v>94</v>
      </c>
      <c r="K468" s="12" t="s">
        <v>95</v>
      </c>
      <c r="L468" s="12" t="s">
        <v>96</v>
      </c>
      <c r="M468" s="11" t="s">
        <v>88</v>
      </c>
    </row>
    <row r="469" customFormat="false" ht="41.75" hidden="false" customHeight="false" outlineLevel="0" collapsed="false">
      <c r="A469" s="11" t="s">
        <v>980</v>
      </c>
      <c r="B469" s="12" t="s">
        <v>52</v>
      </c>
      <c r="C469" s="12" t="s">
        <v>51</v>
      </c>
      <c r="D469" s="12" t="n">
        <v>23</v>
      </c>
      <c r="E469" s="12" t="s">
        <v>959</v>
      </c>
      <c r="F469" s="12" t="s">
        <v>132</v>
      </c>
      <c r="G469" s="12" t="s">
        <v>981</v>
      </c>
      <c r="H469" s="12" t="s">
        <v>942</v>
      </c>
      <c r="I469" s="12" t="s">
        <v>93</v>
      </c>
      <c r="J469" s="12" t="s">
        <v>94</v>
      </c>
      <c r="K469" s="12" t="s">
        <v>95</v>
      </c>
      <c r="L469" s="12" t="s">
        <v>96</v>
      </c>
      <c r="M469" s="11" t="s">
        <v>88</v>
      </c>
    </row>
    <row r="470" customFormat="false" ht="28.35" hidden="false" customHeight="false" outlineLevel="0" collapsed="false">
      <c r="A470" s="11" t="s">
        <v>982</v>
      </c>
      <c r="B470" s="12" t="s">
        <v>52</v>
      </c>
      <c r="C470" s="12" t="s">
        <v>51</v>
      </c>
      <c r="D470" s="12" t="n">
        <v>24</v>
      </c>
      <c r="E470" s="12" t="s">
        <v>959</v>
      </c>
      <c r="F470" s="12" t="s">
        <v>132</v>
      </c>
      <c r="G470" s="12" t="s">
        <v>983</v>
      </c>
      <c r="H470" s="12" t="s">
        <v>942</v>
      </c>
      <c r="I470" s="12" t="s">
        <v>93</v>
      </c>
      <c r="J470" s="12" t="s">
        <v>94</v>
      </c>
      <c r="K470" s="12" t="s">
        <v>95</v>
      </c>
      <c r="L470" s="12" t="s">
        <v>96</v>
      </c>
      <c r="M470" s="11" t="s">
        <v>88</v>
      </c>
    </row>
    <row r="471" customFormat="false" ht="28.35" hidden="false" customHeight="false" outlineLevel="0" collapsed="false">
      <c r="A471" s="11" t="s">
        <v>984</v>
      </c>
      <c r="B471" s="12" t="s">
        <v>52</v>
      </c>
      <c r="C471" s="12" t="s">
        <v>51</v>
      </c>
      <c r="D471" s="12" t="n">
        <v>25</v>
      </c>
      <c r="E471" s="12" t="s">
        <v>959</v>
      </c>
      <c r="F471" s="12" t="s">
        <v>132</v>
      </c>
      <c r="G471" s="12" t="s">
        <v>985</v>
      </c>
      <c r="H471" s="12" t="s">
        <v>942</v>
      </c>
      <c r="I471" s="12" t="s">
        <v>93</v>
      </c>
      <c r="J471" s="12" t="s">
        <v>94</v>
      </c>
      <c r="K471" s="12" t="s">
        <v>95</v>
      </c>
      <c r="L471" s="12" t="s">
        <v>96</v>
      </c>
      <c r="M471" s="11" t="s">
        <v>88</v>
      </c>
    </row>
    <row r="472" customFormat="false" ht="28.35" hidden="false" customHeight="false" outlineLevel="0" collapsed="false">
      <c r="A472" s="11" t="s">
        <v>986</v>
      </c>
      <c r="B472" s="12" t="s">
        <v>52</v>
      </c>
      <c r="C472" s="12" t="s">
        <v>51</v>
      </c>
      <c r="D472" s="12" t="n">
        <v>26</v>
      </c>
      <c r="E472" s="12" t="s">
        <v>959</v>
      </c>
      <c r="F472" s="12" t="s">
        <v>132</v>
      </c>
      <c r="G472" s="12" t="s">
        <v>987</v>
      </c>
      <c r="H472" s="12" t="s">
        <v>942</v>
      </c>
      <c r="I472" s="12" t="s">
        <v>93</v>
      </c>
      <c r="J472" s="12" t="s">
        <v>94</v>
      </c>
      <c r="K472" s="12" t="s">
        <v>95</v>
      </c>
      <c r="L472" s="12" t="s">
        <v>96</v>
      </c>
      <c r="M472" s="11" t="s">
        <v>88</v>
      </c>
    </row>
    <row r="473" customFormat="false" ht="28.35" hidden="false" customHeight="false" outlineLevel="0" collapsed="false">
      <c r="A473" s="11" t="s">
        <v>988</v>
      </c>
      <c r="B473" s="12" t="s">
        <v>52</v>
      </c>
      <c r="C473" s="12" t="s">
        <v>51</v>
      </c>
      <c r="D473" s="12" t="n">
        <v>27</v>
      </c>
      <c r="E473" s="12" t="s">
        <v>959</v>
      </c>
      <c r="F473" s="12" t="s">
        <v>132</v>
      </c>
      <c r="G473" s="12" t="s">
        <v>989</v>
      </c>
      <c r="H473" s="12" t="s">
        <v>942</v>
      </c>
      <c r="I473" s="12" t="s">
        <v>93</v>
      </c>
      <c r="J473" s="12" t="s">
        <v>94</v>
      </c>
      <c r="K473" s="12" t="s">
        <v>95</v>
      </c>
      <c r="L473" s="12" t="s">
        <v>96</v>
      </c>
      <c r="M473" s="11" t="s">
        <v>88</v>
      </c>
    </row>
    <row r="474" customFormat="false" ht="28.35" hidden="false" customHeight="false" outlineLevel="0" collapsed="false">
      <c r="A474" s="11" t="s">
        <v>990</v>
      </c>
      <c r="B474" s="12" t="s">
        <v>52</v>
      </c>
      <c r="C474" s="12" t="s">
        <v>51</v>
      </c>
      <c r="D474" s="12" t="n">
        <v>28</v>
      </c>
      <c r="E474" s="12" t="s">
        <v>959</v>
      </c>
      <c r="F474" s="12" t="s">
        <v>132</v>
      </c>
      <c r="G474" s="12" t="s">
        <v>991</v>
      </c>
      <c r="H474" s="12" t="s">
        <v>942</v>
      </c>
      <c r="I474" s="12" t="s">
        <v>93</v>
      </c>
      <c r="J474" s="12" t="s">
        <v>94</v>
      </c>
      <c r="K474" s="12" t="s">
        <v>95</v>
      </c>
      <c r="L474" s="12" t="s">
        <v>96</v>
      </c>
      <c r="M474" s="11" t="s">
        <v>88</v>
      </c>
    </row>
    <row r="475" customFormat="false" ht="41.75" hidden="false" customHeight="false" outlineLevel="0" collapsed="false">
      <c r="A475" s="11" t="s">
        <v>992</v>
      </c>
      <c r="B475" s="12" t="s">
        <v>52</v>
      </c>
      <c r="C475" s="12" t="s">
        <v>51</v>
      </c>
      <c r="D475" s="12" t="n">
        <v>29</v>
      </c>
      <c r="E475" s="12" t="s">
        <v>959</v>
      </c>
      <c r="F475" s="12" t="s">
        <v>132</v>
      </c>
      <c r="G475" s="12" t="s">
        <v>993</v>
      </c>
      <c r="H475" s="12" t="s">
        <v>942</v>
      </c>
      <c r="I475" s="12" t="s">
        <v>93</v>
      </c>
      <c r="J475" s="12" t="s">
        <v>94</v>
      </c>
      <c r="K475" s="12" t="s">
        <v>95</v>
      </c>
      <c r="L475" s="12" t="s">
        <v>96</v>
      </c>
      <c r="M475" s="11" t="s">
        <v>88</v>
      </c>
    </row>
    <row r="476" customFormat="false" ht="28.35" hidden="false" customHeight="false" outlineLevel="0" collapsed="false">
      <c r="A476" s="11" t="s">
        <v>994</v>
      </c>
      <c r="B476" s="12" t="s">
        <v>52</v>
      </c>
      <c r="C476" s="12" t="s">
        <v>51</v>
      </c>
      <c r="D476" s="12" t="n">
        <v>30</v>
      </c>
      <c r="E476" s="12" t="s">
        <v>959</v>
      </c>
      <c r="F476" s="12" t="s">
        <v>132</v>
      </c>
      <c r="G476" s="12" t="s">
        <v>309</v>
      </c>
      <c r="H476" s="12" t="s">
        <v>942</v>
      </c>
      <c r="I476" s="12" t="s">
        <v>93</v>
      </c>
      <c r="J476" s="12" t="s">
        <v>94</v>
      </c>
      <c r="K476" s="12" t="s">
        <v>95</v>
      </c>
      <c r="L476" s="12" t="s">
        <v>96</v>
      </c>
      <c r="M476" s="11" t="s">
        <v>88</v>
      </c>
    </row>
    <row r="477" customFormat="false" ht="28.35" hidden="false" customHeight="false" outlineLevel="0" collapsed="false">
      <c r="A477" s="11" t="s">
        <v>995</v>
      </c>
      <c r="B477" s="12" t="s">
        <v>52</v>
      </c>
      <c r="C477" s="12" t="s">
        <v>51</v>
      </c>
      <c r="D477" s="12" t="n">
        <v>31</v>
      </c>
      <c r="E477" s="12" t="s">
        <v>959</v>
      </c>
      <c r="F477" s="12" t="s">
        <v>132</v>
      </c>
      <c r="G477" s="12" t="s">
        <v>996</v>
      </c>
      <c r="H477" s="12" t="s">
        <v>942</v>
      </c>
      <c r="I477" s="12" t="s">
        <v>93</v>
      </c>
      <c r="J477" s="12" t="s">
        <v>94</v>
      </c>
      <c r="K477" s="12" t="s">
        <v>95</v>
      </c>
      <c r="L477" s="12" t="s">
        <v>96</v>
      </c>
      <c r="M477" s="11" t="s">
        <v>88</v>
      </c>
    </row>
    <row r="478" customFormat="false" ht="28.35" hidden="false" customHeight="false" outlineLevel="0" collapsed="false">
      <c r="A478" s="11" t="s">
        <v>997</v>
      </c>
      <c r="B478" s="12" t="s">
        <v>52</v>
      </c>
      <c r="C478" s="12" t="s">
        <v>51</v>
      </c>
      <c r="D478" s="12" t="n">
        <v>32</v>
      </c>
      <c r="E478" s="12" t="s">
        <v>959</v>
      </c>
      <c r="F478" s="12" t="s">
        <v>132</v>
      </c>
      <c r="G478" s="12" t="s">
        <v>998</v>
      </c>
      <c r="H478" s="12" t="s">
        <v>942</v>
      </c>
      <c r="I478" s="12" t="s">
        <v>93</v>
      </c>
      <c r="J478" s="12" t="s">
        <v>94</v>
      </c>
      <c r="K478" s="12" t="s">
        <v>95</v>
      </c>
      <c r="L478" s="12" t="s">
        <v>96</v>
      </c>
      <c r="M478" s="11" t="s">
        <v>88</v>
      </c>
    </row>
    <row r="479" customFormat="false" ht="28.35" hidden="false" customHeight="false" outlineLevel="0" collapsed="false">
      <c r="A479" s="11" t="s">
        <v>999</v>
      </c>
      <c r="B479" s="12" t="s">
        <v>52</v>
      </c>
      <c r="C479" s="12" t="s">
        <v>51</v>
      </c>
      <c r="D479" s="12" t="n">
        <v>33</v>
      </c>
      <c r="E479" s="12" t="s">
        <v>959</v>
      </c>
      <c r="F479" s="12" t="s">
        <v>132</v>
      </c>
      <c r="G479" s="12" t="s">
        <v>1000</v>
      </c>
      <c r="H479" s="12" t="s">
        <v>942</v>
      </c>
      <c r="I479" s="12" t="s">
        <v>93</v>
      </c>
      <c r="J479" s="12" t="s">
        <v>94</v>
      </c>
      <c r="K479" s="12" t="s">
        <v>95</v>
      </c>
      <c r="L479" s="12" t="s">
        <v>96</v>
      </c>
      <c r="M479" s="11" t="s">
        <v>88</v>
      </c>
    </row>
    <row r="480" customFormat="false" ht="28.35" hidden="false" customHeight="false" outlineLevel="0" collapsed="false">
      <c r="A480" s="11" t="s">
        <v>1001</v>
      </c>
      <c r="B480" s="12" t="s">
        <v>52</v>
      </c>
      <c r="C480" s="12" t="s">
        <v>51</v>
      </c>
      <c r="D480" s="12" t="n">
        <v>34</v>
      </c>
      <c r="E480" s="12" t="s">
        <v>959</v>
      </c>
      <c r="F480" s="12" t="s">
        <v>132</v>
      </c>
      <c r="G480" s="12" t="s">
        <v>1002</v>
      </c>
      <c r="H480" s="12" t="s">
        <v>942</v>
      </c>
      <c r="I480" s="12" t="s">
        <v>93</v>
      </c>
      <c r="J480" s="12" t="s">
        <v>94</v>
      </c>
      <c r="K480" s="12" t="s">
        <v>95</v>
      </c>
      <c r="L480" s="12" t="s">
        <v>96</v>
      </c>
      <c r="M480" s="11" t="s">
        <v>88</v>
      </c>
    </row>
    <row r="481" customFormat="false" ht="28.35" hidden="false" customHeight="false" outlineLevel="0" collapsed="false">
      <c r="A481" s="11" t="s">
        <v>1003</v>
      </c>
      <c r="B481" s="12" t="s">
        <v>52</v>
      </c>
      <c r="C481" s="12" t="s">
        <v>51</v>
      </c>
      <c r="D481" s="12" t="n">
        <v>35</v>
      </c>
      <c r="E481" s="12" t="s">
        <v>959</v>
      </c>
      <c r="F481" s="12" t="s">
        <v>132</v>
      </c>
      <c r="G481" s="12" t="s">
        <v>1004</v>
      </c>
      <c r="H481" s="12" t="s">
        <v>942</v>
      </c>
      <c r="I481" s="12" t="s">
        <v>93</v>
      </c>
      <c r="J481" s="12" t="s">
        <v>94</v>
      </c>
      <c r="K481" s="12" t="s">
        <v>95</v>
      </c>
      <c r="L481" s="12" t="s">
        <v>96</v>
      </c>
      <c r="M481" s="11" t="s">
        <v>88</v>
      </c>
    </row>
    <row r="482" customFormat="false" ht="28.35" hidden="false" customHeight="false" outlineLevel="0" collapsed="false">
      <c r="A482" s="11" t="s">
        <v>1005</v>
      </c>
      <c r="B482" s="12" t="s">
        <v>52</v>
      </c>
      <c r="C482" s="12" t="s">
        <v>51</v>
      </c>
      <c r="D482" s="12" t="n">
        <v>36</v>
      </c>
      <c r="E482" s="12" t="s">
        <v>959</v>
      </c>
      <c r="F482" s="12" t="s">
        <v>132</v>
      </c>
      <c r="G482" s="12" t="s">
        <v>1006</v>
      </c>
      <c r="H482" s="12" t="s">
        <v>942</v>
      </c>
      <c r="I482" s="12" t="s">
        <v>93</v>
      </c>
      <c r="J482" s="12" t="s">
        <v>94</v>
      </c>
      <c r="K482" s="12" t="s">
        <v>95</v>
      </c>
      <c r="L482" s="12" t="s">
        <v>96</v>
      </c>
      <c r="M482" s="11" t="s">
        <v>88</v>
      </c>
    </row>
    <row r="483" customFormat="false" ht="41.75" hidden="false" customHeight="false" outlineLevel="0" collapsed="false">
      <c r="A483" s="11" t="s">
        <v>1007</v>
      </c>
      <c r="B483" s="12" t="s">
        <v>52</v>
      </c>
      <c r="C483" s="12" t="s">
        <v>51</v>
      </c>
      <c r="D483" s="12" t="n">
        <v>37</v>
      </c>
      <c r="E483" s="12" t="s">
        <v>959</v>
      </c>
      <c r="F483" s="12" t="s">
        <v>132</v>
      </c>
      <c r="G483" s="12" t="s">
        <v>1008</v>
      </c>
      <c r="H483" s="12" t="s">
        <v>942</v>
      </c>
      <c r="I483" s="12" t="s">
        <v>93</v>
      </c>
      <c r="J483" s="12" t="s">
        <v>94</v>
      </c>
      <c r="K483" s="12" t="s">
        <v>95</v>
      </c>
      <c r="L483" s="12" t="s">
        <v>96</v>
      </c>
      <c r="M483" s="11" t="s">
        <v>88</v>
      </c>
    </row>
    <row r="484" customFormat="false" ht="28.35" hidden="false" customHeight="false" outlineLevel="0" collapsed="false">
      <c r="A484" s="11" t="s">
        <v>1009</v>
      </c>
      <c r="B484" s="12" t="s">
        <v>52</v>
      </c>
      <c r="C484" s="12" t="s">
        <v>51</v>
      </c>
      <c r="D484" s="12" t="n">
        <v>38</v>
      </c>
      <c r="E484" s="12" t="s">
        <v>959</v>
      </c>
      <c r="F484" s="12" t="s">
        <v>98</v>
      </c>
      <c r="G484" s="12" t="s">
        <v>1010</v>
      </c>
      <c r="H484" s="12" t="s">
        <v>942</v>
      </c>
      <c r="I484" s="12" t="s">
        <v>93</v>
      </c>
      <c r="J484" s="12" t="s">
        <v>94</v>
      </c>
      <c r="K484" s="12" t="s">
        <v>95</v>
      </c>
      <c r="L484" s="12" t="s">
        <v>96</v>
      </c>
      <c r="M484" s="11" t="s">
        <v>88</v>
      </c>
    </row>
    <row r="485" customFormat="false" ht="28.35" hidden="false" customHeight="false" outlineLevel="0" collapsed="false">
      <c r="A485" s="11" t="s">
        <v>1011</v>
      </c>
      <c r="B485" s="12" t="s">
        <v>52</v>
      </c>
      <c r="C485" s="12" t="s">
        <v>51</v>
      </c>
      <c r="D485" s="12" t="n">
        <v>39</v>
      </c>
      <c r="E485" s="12" t="s">
        <v>959</v>
      </c>
      <c r="F485" s="12" t="s">
        <v>132</v>
      </c>
      <c r="G485" s="12" t="s">
        <v>1012</v>
      </c>
      <c r="H485" s="12" t="s">
        <v>942</v>
      </c>
      <c r="I485" s="12" t="s">
        <v>93</v>
      </c>
      <c r="J485" s="12" t="s">
        <v>94</v>
      </c>
      <c r="K485" s="12" t="s">
        <v>95</v>
      </c>
      <c r="L485" s="12" t="s">
        <v>96</v>
      </c>
      <c r="M485" s="11" t="s">
        <v>88</v>
      </c>
    </row>
    <row r="486" customFormat="false" ht="28.35" hidden="false" customHeight="false" outlineLevel="0" collapsed="false">
      <c r="A486" s="11" t="s">
        <v>1013</v>
      </c>
      <c r="B486" s="12" t="s">
        <v>52</v>
      </c>
      <c r="C486" s="12" t="s">
        <v>51</v>
      </c>
      <c r="D486" s="12" t="n">
        <v>40</v>
      </c>
      <c r="E486" s="12" t="s">
        <v>959</v>
      </c>
      <c r="F486" s="12" t="s">
        <v>132</v>
      </c>
      <c r="G486" s="12" t="s">
        <v>1014</v>
      </c>
      <c r="H486" s="12" t="s">
        <v>942</v>
      </c>
      <c r="I486" s="12" t="s">
        <v>93</v>
      </c>
      <c r="J486" s="12" t="s">
        <v>94</v>
      </c>
      <c r="K486" s="12" t="s">
        <v>95</v>
      </c>
      <c r="L486" s="12" t="s">
        <v>96</v>
      </c>
      <c r="M486" s="11" t="s">
        <v>88</v>
      </c>
    </row>
    <row r="487" customFormat="false" ht="28.35" hidden="false" customHeight="false" outlineLevel="0" collapsed="false">
      <c r="A487" s="11" t="s">
        <v>1015</v>
      </c>
      <c r="B487" s="12" t="s">
        <v>52</v>
      </c>
      <c r="C487" s="12" t="s">
        <v>51</v>
      </c>
      <c r="D487" s="12" t="n">
        <v>41</v>
      </c>
      <c r="E487" s="12" t="s">
        <v>959</v>
      </c>
      <c r="F487" s="12" t="s">
        <v>132</v>
      </c>
      <c r="G487" s="12" t="s">
        <v>1016</v>
      </c>
      <c r="H487" s="12" t="s">
        <v>942</v>
      </c>
      <c r="I487" s="12" t="s">
        <v>93</v>
      </c>
      <c r="J487" s="12" t="s">
        <v>94</v>
      </c>
      <c r="K487" s="12" t="s">
        <v>95</v>
      </c>
      <c r="L487" s="12" t="s">
        <v>96</v>
      </c>
      <c r="M487" s="11" t="s">
        <v>88</v>
      </c>
    </row>
    <row r="488" customFormat="false" ht="28.35" hidden="false" customHeight="false" outlineLevel="0" collapsed="false">
      <c r="A488" s="11" t="s">
        <v>1017</v>
      </c>
      <c r="B488" s="12" t="s">
        <v>52</v>
      </c>
      <c r="C488" s="12" t="s">
        <v>51</v>
      </c>
      <c r="D488" s="12" t="n">
        <v>42</v>
      </c>
      <c r="E488" s="12" t="s">
        <v>959</v>
      </c>
      <c r="F488" s="12" t="s">
        <v>132</v>
      </c>
      <c r="G488" s="12" t="s">
        <v>1018</v>
      </c>
      <c r="H488" s="12" t="s">
        <v>942</v>
      </c>
      <c r="I488" s="12" t="s">
        <v>93</v>
      </c>
      <c r="J488" s="12" t="s">
        <v>94</v>
      </c>
      <c r="K488" s="12" t="s">
        <v>95</v>
      </c>
      <c r="L488" s="12" t="s">
        <v>96</v>
      </c>
      <c r="M488" s="11" t="s">
        <v>88</v>
      </c>
    </row>
    <row r="489" customFormat="false" ht="55.2" hidden="false" customHeight="false" outlineLevel="0" collapsed="false">
      <c r="A489" s="11" t="s">
        <v>1019</v>
      </c>
      <c r="B489" s="12" t="s">
        <v>52</v>
      </c>
      <c r="C489" s="12" t="s">
        <v>51</v>
      </c>
      <c r="D489" s="12" t="n">
        <v>43</v>
      </c>
      <c r="E489" s="12" t="s">
        <v>959</v>
      </c>
      <c r="F489" s="12" t="s">
        <v>98</v>
      </c>
      <c r="G489" s="12" t="s">
        <v>1020</v>
      </c>
      <c r="H489" s="12" t="s">
        <v>731</v>
      </c>
      <c r="I489" s="12" t="s">
        <v>93</v>
      </c>
      <c r="J489" s="12" t="s">
        <v>94</v>
      </c>
      <c r="K489" s="12" t="s">
        <v>95</v>
      </c>
      <c r="L489" s="12" t="s">
        <v>96</v>
      </c>
      <c r="M489" s="11" t="s">
        <v>88</v>
      </c>
    </row>
    <row r="490" customFormat="false" ht="28.35" hidden="false" customHeight="false" outlineLevel="0" collapsed="false">
      <c r="A490" s="11" t="s">
        <v>1021</v>
      </c>
      <c r="B490" s="12" t="s">
        <v>52</v>
      </c>
      <c r="C490" s="12" t="s">
        <v>51</v>
      </c>
      <c r="D490" s="12" t="n">
        <v>44</v>
      </c>
      <c r="E490" s="12" t="s">
        <v>331</v>
      </c>
      <c r="F490" s="12" t="s">
        <v>82</v>
      </c>
      <c r="G490" s="12" t="s">
        <v>331</v>
      </c>
      <c r="H490" s="12" t="s">
        <v>942</v>
      </c>
      <c r="I490" s="12" t="s">
        <v>84</v>
      </c>
      <c r="J490" s="12" t="s">
        <v>85</v>
      </c>
      <c r="K490" s="12" t="s">
        <v>86</v>
      </c>
      <c r="L490" s="12" t="s">
        <v>87</v>
      </c>
      <c r="M490" s="11" t="s">
        <v>88</v>
      </c>
    </row>
    <row r="491" customFormat="false" ht="28.35" hidden="false" customHeight="false" outlineLevel="0" collapsed="false">
      <c r="A491" s="11" t="s">
        <v>1022</v>
      </c>
      <c r="B491" s="12" t="s">
        <v>52</v>
      </c>
      <c r="C491" s="12" t="s">
        <v>51</v>
      </c>
      <c r="D491" s="12" t="n">
        <v>45</v>
      </c>
      <c r="E491" s="12" t="s">
        <v>331</v>
      </c>
      <c r="F491" s="12" t="s">
        <v>132</v>
      </c>
      <c r="G491" s="12" t="s">
        <v>1023</v>
      </c>
      <c r="H491" s="12" t="s">
        <v>942</v>
      </c>
      <c r="I491" s="12" t="s">
        <v>84</v>
      </c>
      <c r="J491" s="12" t="s">
        <v>85</v>
      </c>
      <c r="K491" s="12" t="s">
        <v>86</v>
      </c>
      <c r="L491" s="12" t="s">
        <v>87</v>
      </c>
      <c r="M491" s="11" t="s">
        <v>88</v>
      </c>
    </row>
    <row r="492" customFormat="false" ht="41.75" hidden="false" customHeight="false" outlineLevel="0" collapsed="false">
      <c r="A492" s="11" t="s">
        <v>1024</v>
      </c>
      <c r="B492" s="12" t="s">
        <v>52</v>
      </c>
      <c r="C492" s="12" t="s">
        <v>51</v>
      </c>
      <c r="D492" s="12" t="n">
        <v>46</v>
      </c>
      <c r="E492" s="12" t="s">
        <v>331</v>
      </c>
      <c r="F492" s="12" t="s">
        <v>132</v>
      </c>
      <c r="G492" s="12" t="s">
        <v>1025</v>
      </c>
      <c r="H492" s="12" t="s">
        <v>942</v>
      </c>
      <c r="I492" s="12" t="s">
        <v>84</v>
      </c>
      <c r="J492" s="12" t="s">
        <v>85</v>
      </c>
      <c r="K492" s="12" t="s">
        <v>86</v>
      </c>
      <c r="L492" s="12" t="s">
        <v>87</v>
      </c>
      <c r="M492" s="11" t="s">
        <v>88</v>
      </c>
    </row>
    <row r="493" customFormat="false" ht="28.35" hidden="false" customHeight="false" outlineLevel="0" collapsed="false">
      <c r="A493" s="11" t="s">
        <v>1026</v>
      </c>
      <c r="B493" s="12" t="s">
        <v>52</v>
      </c>
      <c r="C493" s="12" t="s">
        <v>51</v>
      </c>
      <c r="D493" s="12" t="n">
        <v>47</v>
      </c>
      <c r="E493" s="12" t="s">
        <v>331</v>
      </c>
      <c r="F493" s="12" t="s">
        <v>132</v>
      </c>
      <c r="G493" s="12" t="s">
        <v>1027</v>
      </c>
      <c r="H493" s="12" t="s">
        <v>942</v>
      </c>
      <c r="I493" s="12" t="s">
        <v>84</v>
      </c>
      <c r="J493" s="12" t="s">
        <v>85</v>
      </c>
      <c r="K493" s="12" t="s">
        <v>86</v>
      </c>
      <c r="L493" s="12" t="s">
        <v>87</v>
      </c>
      <c r="M493" s="11" t="s">
        <v>88</v>
      </c>
    </row>
    <row r="494" customFormat="false" ht="28.35" hidden="false" customHeight="false" outlineLevel="0" collapsed="false">
      <c r="A494" s="11" t="s">
        <v>1028</v>
      </c>
      <c r="B494" s="12" t="s">
        <v>52</v>
      </c>
      <c r="C494" s="12" t="s">
        <v>51</v>
      </c>
      <c r="D494" s="12" t="n">
        <v>48</v>
      </c>
      <c r="E494" s="12" t="s">
        <v>331</v>
      </c>
      <c r="F494" s="12" t="s">
        <v>132</v>
      </c>
      <c r="G494" s="12" t="s">
        <v>1029</v>
      </c>
      <c r="H494" s="12" t="s">
        <v>942</v>
      </c>
      <c r="I494" s="12" t="s">
        <v>84</v>
      </c>
      <c r="J494" s="12" t="s">
        <v>85</v>
      </c>
      <c r="K494" s="12" t="s">
        <v>86</v>
      </c>
      <c r="L494" s="12" t="s">
        <v>87</v>
      </c>
      <c r="M494" s="11" t="s">
        <v>88</v>
      </c>
    </row>
    <row r="495" customFormat="false" ht="28.35" hidden="false" customHeight="false" outlineLevel="0" collapsed="false">
      <c r="A495" s="11" t="s">
        <v>1030</v>
      </c>
      <c r="B495" s="12" t="s">
        <v>52</v>
      </c>
      <c r="C495" s="12" t="s">
        <v>51</v>
      </c>
      <c r="D495" s="12" t="n">
        <v>49</v>
      </c>
      <c r="E495" s="12" t="s">
        <v>331</v>
      </c>
      <c r="F495" s="12" t="s">
        <v>132</v>
      </c>
      <c r="G495" s="12" t="s">
        <v>1031</v>
      </c>
      <c r="H495" s="12" t="s">
        <v>942</v>
      </c>
      <c r="I495" s="12" t="s">
        <v>84</v>
      </c>
      <c r="J495" s="12" t="s">
        <v>85</v>
      </c>
      <c r="K495" s="12" t="s">
        <v>86</v>
      </c>
      <c r="L495" s="12" t="s">
        <v>87</v>
      </c>
      <c r="M495" s="11" t="s">
        <v>88</v>
      </c>
    </row>
    <row r="496" customFormat="false" ht="28.35" hidden="false" customHeight="false" outlineLevel="0" collapsed="false">
      <c r="A496" s="11" t="s">
        <v>1032</v>
      </c>
      <c r="B496" s="12" t="s">
        <v>52</v>
      </c>
      <c r="C496" s="12" t="s">
        <v>51</v>
      </c>
      <c r="D496" s="12" t="n">
        <v>50</v>
      </c>
      <c r="E496" s="12" t="s">
        <v>1033</v>
      </c>
      <c r="F496" s="12" t="s">
        <v>82</v>
      </c>
      <c r="G496" s="12" t="s">
        <v>1033</v>
      </c>
      <c r="H496" s="12" t="s">
        <v>942</v>
      </c>
      <c r="I496" s="12" t="s">
        <v>158</v>
      </c>
      <c r="J496" s="12" t="s">
        <v>159</v>
      </c>
      <c r="K496" s="12" t="s">
        <v>19</v>
      </c>
      <c r="L496" s="12" t="s">
        <v>87</v>
      </c>
      <c r="M496" s="11" t="s">
        <v>88</v>
      </c>
    </row>
    <row r="497" customFormat="false" ht="41.75" hidden="false" customHeight="false" outlineLevel="0" collapsed="false">
      <c r="A497" s="11" t="s">
        <v>1034</v>
      </c>
      <c r="B497" s="12" t="s">
        <v>52</v>
      </c>
      <c r="C497" s="12" t="s">
        <v>51</v>
      </c>
      <c r="D497" s="12" t="n">
        <v>51</v>
      </c>
      <c r="E497" s="12" t="s">
        <v>1035</v>
      </c>
      <c r="F497" s="12" t="s">
        <v>82</v>
      </c>
      <c r="G497" s="12" t="s">
        <v>1035</v>
      </c>
      <c r="H497" s="12" t="s">
        <v>942</v>
      </c>
      <c r="I497" s="12" t="s">
        <v>158</v>
      </c>
      <c r="J497" s="12" t="s">
        <v>159</v>
      </c>
      <c r="K497" s="12" t="s">
        <v>19</v>
      </c>
      <c r="L497" s="12" t="s">
        <v>87</v>
      </c>
      <c r="M497" s="11" t="s">
        <v>88</v>
      </c>
    </row>
    <row r="498" customFormat="false" ht="28.35" hidden="false" customHeight="false" outlineLevel="0" collapsed="false">
      <c r="A498" s="11" t="s">
        <v>1036</v>
      </c>
      <c r="B498" s="12" t="s">
        <v>52</v>
      </c>
      <c r="C498" s="12" t="s">
        <v>51</v>
      </c>
      <c r="D498" s="12" t="n">
        <v>52</v>
      </c>
      <c r="E498" s="12" t="s">
        <v>1037</v>
      </c>
      <c r="F498" s="12" t="s">
        <v>82</v>
      </c>
      <c r="G498" s="12" t="s">
        <v>1037</v>
      </c>
      <c r="H498" s="12" t="s">
        <v>942</v>
      </c>
      <c r="I498" s="12" t="s">
        <v>168</v>
      </c>
      <c r="J498" s="12" t="s">
        <v>169</v>
      </c>
      <c r="K498" s="12" t="s">
        <v>31</v>
      </c>
      <c r="L498" s="12" t="s">
        <v>96</v>
      </c>
      <c r="M498" s="11" t="s">
        <v>170</v>
      </c>
    </row>
    <row r="499" customFormat="false" ht="28.35" hidden="false" customHeight="false" outlineLevel="0" collapsed="false">
      <c r="A499" s="11" t="s">
        <v>1038</v>
      </c>
      <c r="B499" s="12" t="s">
        <v>52</v>
      </c>
      <c r="C499" s="12" t="s">
        <v>51</v>
      </c>
      <c r="D499" s="12" t="n">
        <v>53</v>
      </c>
      <c r="E499" s="12" t="s">
        <v>1037</v>
      </c>
      <c r="F499" s="12" t="s">
        <v>132</v>
      </c>
      <c r="G499" s="12" t="s">
        <v>1039</v>
      </c>
      <c r="H499" s="12" t="s">
        <v>942</v>
      </c>
      <c r="I499" s="12" t="s">
        <v>168</v>
      </c>
      <c r="J499" s="12" t="s">
        <v>169</v>
      </c>
      <c r="K499" s="12" t="s">
        <v>31</v>
      </c>
      <c r="L499" s="12" t="s">
        <v>96</v>
      </c>
      <c r="M499" s="11" t="s">
        <v>170</v>
      </c>
    </row>
    <row r="500" customFormat="false" ht="28.35" hidden="false" customHeight="false" outlineLevel="0" collapsed="false">
      <c r="A500" s="11" t="s">
        <v>1040</v>
      </c>
      <c r="B500" s="12" t="s">
        <v>52</v>
      </c>
      <c r="C500" s="12" t="s">
        <v>51</v>
      </c>
      <c r="D500" s="12" t="n">
        <v>54</v>
      </c>
      <c r="E500" s="12" t="s">
        <v>1037</v>
      </c>
      <c r="F500" s="12" t="s">
        <v>132</v>
      </c>
      <c r="G500" s="12" t="s">
        <v>167</v>
      </c>
      <c r="H500" s="12" t="s">
        <v>942</v>
      </c>
      <c r="I500" s="12" t="s">
        <v>168</v>
      </c>
      <c r="J500" s="12" t="s">
        <v>169</v>
      </c>
      <c r="K500" s="12" t="s">
        <v>31</v>
      </c>
      <c r="L500" s="12" t="s">
        <v>96</v>
      </c>
      <c r="M500" s="11" t="s">
        <v>170</v>
      </c>
    </row>
    <row r="501" customFormat="false" ht="95.5" hidden="false" customHeight="false" outlineLevel="0" collapsed="false">
      <c r="A501" s="11" t="s">
        <v>1041</v>
      </c>
      <c r="B501" s="12" t="s">
        <v>52</v>
      </c>
      <c r="C501" s="12" t="s">
        <v>51</v>
      </c>
      <c r="D501" s="12" t="n">
        <v>55</v>
      </c>
      <c r="E501" s="12" t="s">
        <v>1037</v>
      </c>
      <c r="F501" s="12" t="s">
        <v>98</v>
      </c>
      <c r="G501" s="12" t="s">
        <v>1042</v>
      </c>
      <c r="H501" s="12" t="s">
        <v>942</v>
      </c>
      <c r="I501" s="12" t="s">
        <v>168</v>
      </c>
      <c r="J501" s="12" t="s">
        <v>169</v>
      </c>
      <c r="K501" s="12" t="s">
        <v>31</v>
      </c>
      <c r="L501" s="12" t="s">
        <v>96</v>
      </c>
      <c r="M501" s="11" t="s">
        <v>170</v>
      </c>
    </row>
    <row r="502" customFormat="false" ht="95.5" hidden="false" customHeight="false" outlineLevel="0" collapsed="false">
      <c r="A502" s="11" t="s">
        <v>1043</v>
      </c>
      <c r="B502" s="12" t="s">
        <v>52</v>
      </c>
      <c r="C502" s="12" t="s">
        <v>51</v>
      </c>
      <c r="D502" s="12" t="n">
        <v>56</v>
      </c>
      <c r="E502" s="12" t="s">
        <v>1037</v>
      </c>
      <c r="F502" s="12" t="s">
        <v>98</v>
      </c>
      <c r="G502" s="12" t="s">
        <v>1044</v>
      </c>
      <c r="H502" s="12" t="s">
        <v>731</v>
      </c>
      <c r="I502" s="12" t="s">
        <v>168</v>
      </c>
      <c r="J502" s="12" t="s">
        <v>169</v>
      </c>
      <c r="K502" s="12" t="s">
        <v>31</v>
      </c>
      <c r="L502" s="12" t="s">
        <v>96</v>
      </c>
      <c r="M502" s="11" t="s">
        <v>170</v>
      </c>
    </row>
    <row r="503" customFormat="false" ht="28.35" hidden="false" customHeight="false" outlineLevel="0" collapsed="false">
      <c r="A503" s="11" t="s">
        <v>1045</v>
      </c>
      <c r="B503" s="12" t="s">
        <v>52</v>
      </c>
      <c r="C503" s="12" t="s">
        <v>51</v>
      </c>
      <c r="D503" s="12" t="n">
        <v>57</v>
      </c>
      <c r="E503" s="12" t="s">
        <v>1037</v>
      </c>
      <c r="F503" s="12" t="s">
        <v>132</v>
      </c>
      <c r="G503" s="12" t="s">
        <v>1046</v>
      </c>
      <c r="H503" s="12" t="s">
        <v>942</v>
      </c>
      <c r="I503" s="12" t="s">
        <v>168</v>
      </c>
      <c r="J503" s="12" t="s">
        <v>169</v>
      </c>
      <c r="K503" s="12" t="s">
        <v>31</v>
      </c>
      <c r="L503" s="12" t="s">
        <v>96</v>
      </c>
      <c r="M503" s="11" t="s">
        <v>170</v>
      </c>
    </row>
    <row r="504" customFormat="false" ht="55.2" hidden="false" customHeight="false" outlineLevel="0" collapsed="false">
      <c r="A504" s="11" t="s">
        <v>1047</v>
      </c>
      <c r="B504" s="12" t="s">
        <v>52</v>
      </c>
      <c r="C504" s="12" t="s">
        <v>51</v>
      </c>
      <c r="D504" s="12" t="n">
        <v>58</v>
      </c>
      <c r="E504" s="12" t="s">
        <v>1037</v>
      </c>
      <c r="F504" s="12" t="s">
        <v>132</v>
      </c>
      <c r="G504" s="12" t="s">
        <v>1048</v>
      </c>
      <c r="H504" s="12" t="s">
        <v>942</v>
      </c>
      <c r="I504" s="12" t="s">
        <v>168</v>
      </c>
      <c r="J504" s="12" t="s">
        <v>169</v>
      </c>
      <c r="K504" s="12" t="s">
        <v>31</v>
      </c>
      <c r="L504" s="12" t="s">
        <v>96</v>
      </c>
      <c r="M504" s="11" t="s">
        <v>170</v>
      </c>
    </row>
    <row r="505" customFormat="false" ht="28.35" hidden="false" customHeight="false" outlineLevel="0" collapsed="false">
      <c r="A505" s="11" t="s">
        <v>1049</v>
      </c>
      <c r="B505" s="12" t="s">
        <v>52</v>
      </c>
      <c r="C505" s="12" t="s">
        <v>51</v>
      </c>
      <c r="D505" s="12" t="n">
        <v>59</v>
      </c>
      <c r="E505" s="12" t="s">
        <v>1037</v>
      </c>
      <c r="F505" s="12" t="s">
        <v>132</v>
      </c>
      <c r="G505" s="12" t="s">
        <v>1050</v>
      </c>
      <c r="H505" s="12" t="s">
        <v>942</v>
      </c>
      <c r="I505" s="12" t="s">
        <v>168</v>
      </c>
      <c r="J505" s="12" t="s">
        <v>169</v>
      </c>
      <c r="K505" s="12" t="s">
        <v>31</v>
      </c>
      <c r="L505" s="12" t="s">
        <v>96</v>
      </c>
      <c r="M505" s="11" t="s">
        <v>170</v>
      </c>
    </row>
    <row r="506" customFormat="false" ht="28.35" hidden="false" customHeight="false" outlineLevel="0" collapsed="false">
      <c r="A506" s="11" t="s">
        <v>1051</v>
      </c>
      <c r="B506" s="12" t="s">
        <v>52</v>
      </c>
      <c r="C506" s="12" t="s">
        <v>51</v>
      </c>
      <c r="D506" s="12" t="n">
        <v>60</v>
      </c>
      <c r="E506" s="12" t="s">
        <v>1037</v>
      </c>
      <c r="F506" s="12" t="s">
        <v>132</v>
      </c>
      <c r="G506" s="12" t="s">
        <v>1052</v>
      </c>
      <c r="H506" s="12" t="s">
        <v>942</v>
      </c>
      <c r="I506" s="12" t="s">
        <v>168</v>
      </c>
      <c r="J506" s="12" t="s">
        <v>169</v>
      </c>
      <c r="K506" s="12" t="s">
        <v>31</v>
      </c>
      <c r="L506" s="12" t="s">
        <v>96</v>
      </c>
      <c r="M506" s="11" t="s">
        <v>170</v>
      </c>
    </row>
    <row r="507" customFormat="false" ht="28.35" hidden="false" customHeight="false" outlineLevel="0" collapsed="false">
      <c r="A507" s="11" t="s">
        <v>1053</v>
      </c>
      <c r="B507" s="12" t="s">
        <v>52</v>
      </c>
      <c r="C507" s="12" t="s">
        <v>51</v>
      </c>
      <c r="D507" s="12" t="n">
        <v>61</v>
      </c>
      <c r="E507" s="12" t="s">
        <v>1037</v>
      </c>
      <c r="F507" s="12" t="s">
        <v>132</v>
      </c>
      <c r="G507" s="12" t="s">
        <v>1054</v>
      </c>
      <c r="H507" s="12" t="s">
        <v>942</v>
      </c>
      <c r="I507" s="12" t="s">
        <v>168</v>
      </c>
      <c r="J507" s="12" t="s">
        <v>169</v>
      </c>
      <c r="K507" s="12" t="s">
        <v>31</v>
      </c>
      <c r="L507" s="12" t="s">
        <v>96</v>
      </c>
      <c r="M507" s="11" t="s">
        <v>170</v>
      </c>
    </row>
    <row r="508" customFormat="false" ht="28.35" hidden="false" customHeight="false" outlineLevel="0" collapsed="false">
      <c r="A508" s="11" t="s">
        <v>1055</v>
      </c>
      <c r="B508" s="12" t="s">
        <v>52</v>
      </c>
      <c r="C508" s="12" t="s">
        <v>51</v>
      </c>
      <c r="D508" s="12" t="n">
        <v>62</v>
      </c>
      <c r="E508" s="12" t="s">
        <v>1037</v>
      </c>
      <c r="F508" s="12" t="s">
        <v>98</v>
      </c>
      <c r="G508" s="12" t="s">
        <v>1056</v>
      </c>
      <c r="H508" s="12" t="s">
        <v>942</v>
      </c>
      <c r="I508" s="12" t="s">
        <v>168</v>
      </c>
      <c r="J508" s="12" t="s">
        <v>169</v>
      </c>
      <c r="K508" s="12" t="s">
        <v>31</v>
      </c>
      <c r="L508" s="12" t="s">
        <v>96</v>
      </c>
      <c r="M508" s="11" t="s">
        <v>170</v>
      </c>
    </row>
    <row r="509" customFormat="false" ht="28.35" hidden="false" customHeight="false" outlineLevel="0" collapsed="false">
      <c r="A509" s="11" t="s">
        <v>1057</v>
      </c>
      <c r="B509" s="12" t="s">
        <v>52</v>
      </c>
      <c r="C509" s="12" t="s">
        <v>51</v>
      </c>
      <c r="D509" s="12" t="n">
        <v>63</v>
      </c>
      <c r="E509" s="12" t="s">
        <v>1037</v>
      </c>
      <c r="F509" s="12" t="s">
        <v>132</v>
      </c>
      <c r="G509" s="12" t="s">
        <v>1058</v>
      </c>
      <c r="H509" s="12" t="s">
        <v>942</v>
      </c>
      <c r="I509" s="12" t="s">
        <v>168</v>
      </c>
      <c r="J509" s="12" t="s">
        <v>169</v>
      </c>
      <c r="K509" s="12" t="s">
        <v>31</v>
      </c>
      <c r="L509" s="12" t="s">
        <v>96</v>
      </c>
      <c r="M509" s="11" t="s">
        <v>170</v>
      </c>
    </row>
    <row r="510" customFormat="false" ht="28.35" hidden="false" customHeight="false" outlineLevel="0" collapsed="false">
      <c r="A510" s="11" t="s">
        <v>1059</v>
      </c>
      <c r="B510" s="12" t="s">
        <v>52</v>
      </c>
      <c r="C510" s="12" t="s">
        <v>51</v>
      </c>
      <c r="D510" s="12" t="n">
        <v>64</v>
      </c>
      <c r="E510" s="12" t="s">
        <v>1060</v>
      </c>
      <c r="F510" s="12" t="s">
        <v>82</v>
      </c>
      <c r="G510" s="12" t="s">
        <v>1060</v>
      </c>
      <c r="H510" s="12" t="s">
        <v>942</v>
      </c>
      <c r="I510" s="12" t="s">
        <v>158</v>
      </c>
      <c r="J510" s="12" t="s">
        <v>159</v>
      </c>
      <c r="K510" s="12" t="s">
        <v>19</v>
      </c>
      <c r="L510" s="12" t="s">
        <v>87</v>
      </c>
      <c r="M510" s="11" t="s">
        <v>88</v>
      </c>
    </row>
    <row r="511" customFormat="false" ht="28.35" hidden="false" customHeight="false" outlineLevel="0" collapsed="false">
      <c r="A511" s="11" t="s">
        <v>1061</v>
      </c>
      <c r="B511" s="12" t="s">
        <v>52</v>
      </c>
      <c r="C511" s="12" t="s">
        <v>51</v>
      </c>
      <c r="D511" s="12" t="n">
        <v>65</v>
      </c>
      <c r="E511" s="12" t="s">
        <v>1060</v>
      </c>
      <c r="F511" s="12" t="s">
        <v>132</v>
      </c>
      <c r="G511" s="12" t="s">
        <v>1062</v>
      </c>
      <c r="H511" s="12" t="s">
        <v>942</v>
      </c>
      <c r="I511" s="12" t="s">
        <v>164</v>
      </c>
      <c r="J511" s="12" t="s">
        <v>165</v>
      </c>
      <c r="K511" s="12" t="s">
        <v>16</v>
      </c>
      <c r="L511" s="12" t="s">
        <v>87</v>
      </c>
      <c r="M511" s="11" t="s">
        <v>88</v>
      </c>
    </row>
    <row r="512" customFormat="false" ht="28.35" hidden="false" customHeight="false" outlineLevel="0" collapsed="false">
      <c r="A512" s="11" t="s">
        <v>1063</v>
      </c>
      <c r="B512" s="12" t="s">
        <v>52</v>
      </c>
      <c r="C512" s="12" t="s">
        <v>51</v>
      </c>
      <c r="D512" s="12" t="n">
        <v>66</v>
      </c>
      <c r="E512" s="12" t="s">
        <v>1060</v>
      </c>
      <c r="F512" s="12" t="s">
        <v>132</v>
      </c>
      <c r="G512" s="12" t="s">
        <v>1064</v>
      </c>
      <c r="H512" s="12" t="s">
        <v>942</v>
      </c>
      <c r="I512" s="12" t="s">
        <v>164</v>
      </c>
      <c r="J512" s="12" t="s">
        <v>165</v>
      </c>
      <c r="K512" s="12" t="s">
        <v>16</v>
      </c>
      <c r="L512" s="12" t="s">
        <v>87</v>
      </c>
      <c r="M512" s="11" t="s">
        <v>88</v>
      </c>
    </row>
    <row r="513" customFormat="false" ht="28.35" hidden="false" customHeight="false" outlineLevel="0" collapsed="false">
      <c r="A513" s="11" t="s">
        <v>1065</v>
      </c>
      <c r="B513" s="12" t="s">
        <v>52</v>
      </c>
      <c r="C513" s="12" t="s">
        <v>51</v>
      </c>
      <c r="D513" s="12" t="n">
        <v>67</v>
      </c>
      <c r="E513" s="12" t="s">
        <v>1060</v>
      </c>
      <c r="F513" s="12" t="s">
        <v>132</v>
      </c>
      <c r="G513" s="12" t="s">
        <v>1066</v>
      </c>
      <c r="H513" s="12" t="s">
        <v>942</v>
      </c>
      <c r="I513" s="12" t="s">
        <v>164</v>
      </c>
      <c r="J513" s="12" t="s">
        <v>165</v>
      </c>
      <c r="K513" s="12" t="s">
        <v>16</v>
      </c>
      <c r="L513" s="12" t="s">
        <v>87</v>
      </c>
      <c r="M513" s="11" t="s">
        <v>88</v>
      </c>
    </row>
    <row r="514" customFormat="false" ht="28.35" hidden="false" customHeight="false" outlineLevel="0" collapsed="false">
      <c r="A514" s="11" t="s">
        <v>1067</v>
      </c>
      <c r="B514" s="12" t="s">
        <v>52</v>
      </c>
      <c r="C514" s="12" t="s">
        <v>51</v>
      </c>
      <c r="D514" s="12" t="n">
        <v>68</v>
      </c>
      <c r="E514" s="12" t="s">
        <v>1060</v>
      </c>
      <c r="F514" s="12" t="s">
        <v>132</v>
      </c>
      <c r="G514" s="12" t="s">
        <v>1068</v>
      </c>
      <c r="H514" s="12" t="s">
        <v>942</v>
      </c>
      <c r="I514" s="12" t="s">
        <v>164</v>
      </c>
      <c r="J514" s="12" t="s">
        <v>165</v>
      </c>
      <c r="K514" s="12" t="s">
        <v>16</v>
      </c>
      <c r="L514" s="12" t="s">
        <v>87</v>
      </c>
      <c r="M514" s="11" t="s">
        <v>88</v>
      </c>
    </row>
    <row r="515" customFormat="false" ht="28.35" hidden="false" customHeight="false" outlineLevel="0" collapsed="false">
      <c r="A515" s="11" t="s">
        <v>1069</v>
      </c>
      <c r="B515" s="12" t="s">
        <v>52</v>
      </c>
      <c r="C515" s="12" t="s">
        <v>51</v>
      </c>
      <c r="D515" s="12" t="n">
        <v>69</v>
      </c>
      <c r="E515" s="12" t="s">
        <v>1060</v>
      </c>
      <c r="F515" s="12" t="s">
        <v>132</v>
      </c>
      <c r="G515" s="12" t="s">
        <v>1070</v>
      </c>
      <c r="H515" s="12" t="s">
        <v>942</v>
      </c>
      <c r="I515" s="12" t="s">
        <v>164</v>
      </c>
      <c r="J515" s="12" t="s">
        <v>165</v>
      </c>
      <c r="K515" s="12" t="s">
        <v>16</v>
      </c>
      <c r="L515" s="12" t="s">
        <v>87</v>
      </c>
      <c r="M515" s="11" t="s">
        <v>88</v>
      </c>
    </row>
    <row r="516" customFormat="false" ht="28.35" hidden="false" customHeight="false" outlineLevel="0" collapsed="false">
      <c r="A516" s="11" t="s">
        <v>1071</v>
      </c>
      <c r="B516" s="12" t="s">
        <v>52</v>
      </c>
      <c r="C516" s="12" t="s">
        <v>51</v>
      </c>
      <c r="D516" s="12" t="n">
        <v>70</v>
      </c>
      <c r="E516" s="12" t="s">
        <v>1060</v>
      </c>
      <c r="F516" s="12" t="s">
        <v>132</v>
      </c>
      <c r="G516" s="12" t="s">
        <v>1072</v>
      </c>
      <c r="H516" s="12" t="s">
        <v>942</v>
      </c>
      <c r="I516" s="12" t="s">
        <v>164</v>
      </c>
      <c r="J516" s="12" t="s">
        <v>165</v>
      </c>
      <c r="K516" s="12" t="s">
        <v>16</v>
      </c>
      <c r="L516" s="12" t="s">
        <v>87</v>
      </c>
      <c r="M516" s="11" t="s">
        <v>88</v>
      </c>
    </row>
    <row r="517" customFormat="false" ht="28.35" hidden="false" customHeight="false" outlineLevel="0" collapsed="false">
      <c r="A517" s="11" t="s">
        <v>1073</v>
      </c>
      <c r="B517" s="12" t="s">
        <v>52</v>
      </c>
      <c r="C517" s="12" t="s">
        <v>51</v>
      </c>
      <c r="D517" s="12" t="n">
        <v>71</v>
      </c>
      <c r="E517" s="12" t="s">
        <v>1060</v>
      </c>
      <c r="F517" s="12" t="s">
        <v>132</v>
      </c>
      <c r="G517" s="12" t="s">
        <v>1074</v>
      </c>
      <c r="H517" s="12" t="s">
        <v>942</v>
      </c>
      <c r="I517" s="12" t="s">
        <v>164</v>
      </c>
      <c r="J517" s="12" t="s">
        <v>165</v>
      </c>
      <c r="K517" s="12" t="s">
        <v>16</v>
      </c>
      <c r="L517" s="12" t="s">
        <v>87</v>
      </c>
      <c r="M517" s="11" t="s">
        <v>88</v>
      </c>
    </row>
    <row r="518" customFormat="false" ht="28.35" hidden="false" customHeight="false" outlineLevel="0" collapsed="false">
      <c r="A518" s="11" t="s">
        <v>1075</v>
      </c>
      <c r="B518" s="12" t="s">
        <v>52</v>
      </c>
      <c r="C518" s="12" t="s">
        <v>51</v>
      </c>
      <c r="D518" s="12" t="n">
        <v>72</v>
      </c>
      <c r="E518" s="12" t="s">
        <v>1060</v>
      </c>
      <c r="F518" s="12" t="s">
        <v>132</v>
      </c>
      <c r="G518" s="12" t="s">
        <v>1076</v>
      </c>
      <c r="H518" s="12" t="s">
        <v>942</v>
      </c>
      <c r="I518" s="12" t="s">
        <v>164</v>
      </c>
      <c r="J518" s="12" t="s">
        <v>165</v>
      </c>
      <c r="K518" s="12" t="s">
        <v>16</v>
      </c>
      <c r="L518" s="12" t="s">
        <v>87</v>
      </c>
      <c r="M518" s="11" t="s">
        <v>88</v>
      </c>
    </row>
    <row r="519" customFormat="false" ht="28.35" hidden="false" customHeight="false" outlineLevel="0" collapsed="false">
      <c r="A519" s="11" t="s">
        <v>1077</v>
      </c>
      <c r="B519" s="12" t="s">
        <v>52</v>
      </c>
      <c r="C519" s="12" t="s">
        <v>51</v>
      </c>
      <c r="D519" s="12" t="n">
        <v>73</v>
      </c>
      <c r="E519" s="12" t="s">
        <v>1078</v>
      </c>
      <c r="F519" s="12" t="s">
        <v>82</v>
      </c>
      <c r="G519" s="12" t="s">
        <v>1078</v>
      </c>
      <c r="H519" s="12" t="s">
        <v>942</v>
      </c>
      <c r="I519" s="12" t="s">
        <v>158</v>
      </c>
      <c r="J519" s="12" t="s">
        <v>159</v>
      </c>
      <c r="K519" s="12" t="s">
        <v>19</v>
      </c>
      <c r="L519" s="12" t="s">
        <v>87</v>
      </c>
      <c r="M519" s="11" t="s">
        <v>88</v>
      </c>
    </row>
    <row r="520" customFormat="false" ht="28.35" hidden="false" customHeight="false" outlineLevel="0" collapsed="false">
      <c r="A520" s="11" t="s">
        <v>1079</v>
      </c>
      <c r="B520" s="12" t="s">
        <v>52</v>
      </c>
      <c r="C520" s="12" t="s">
        <v>51</v>
      </c>
      <c r="D520" s="12" t="n">
        <v>74</v>
      </c>
      <c r="E520" s="12" t="s">
        <v>1078</v>
      </c>
      <c r="F520" s="12" t="s">
        <v>132</v>
      </c>
      <c r="G520" s="12" t="s">
        <v>1080</v>
      </c>
      <c r="H520" s="12" t="s">
        <v>942</v>
      </c>
      <c r="I520" s="12" t="s">
        <v>164</v>
      </c>
      <c r="J520" s="12" t="s">
        <v>165</v>
      </c>
      <c r="K520" s="12" t="s">
        <v>16</v>
      </c>
      <c r="L520" s="12" t="s">
        <v>87</v>
      </c>
      <c r="M520" s="11" t="s">
        <v>88</v>
      </c>
    </row>
    <row r="521" customFormat="false" ht="28.35" hidden="false" customHeight="false" outlineLevel="0" collapsed="false">
      <c r="A521" s="11" t="s">
        <v>1081</v>
      </c>
      <c r="B521" s="12" t="s">
        <v>52</v>
      </c>
      <c r="C521" s="12" t="s">
        <v>51</v>
      </c>
      <c r="D521" s="12" t="n">
        <v>75</v>
      </c>
      <c r="E521" s="12" t="s">
        <v>1078</v>
      </c>
      <c r="F521" s="12" t="s">
        <v>132</v>
      </c>
      <c r="G521" s="12" t="s">
        <v>1082</v>
      </c>
      <c r="H521" s="12" t="s">
        <v>942</v>
      </c>
      <c r="I521" s="12" t="s">
        <v>164</v>
      </c>
      <c r="J521" s="12" t="s">
        <v>165</v>
      </c>
      <c r="K521" s="12" t="s">
        <v>16</v>
      </c>
      <c r="L521" s="12" t="s">
        <v>87</v>
      </c>
      <c r="M521" s="11" t="s">
        <v>88</v>
      </c>
    </row>
    <row r="522" customFormat="false" ht="28.35" hidden="false" customHeight="false" outlineLevel="0" collapsed="false">
      <c r="A522" s="11" t="s">
        <v>1083</v>
      </c>
      <c r="B522" s="12" t="s">
        <v>52</v>
      </c>
      <c r="C522" s="12" t="s">
        <v>51</v>
      </c>
      <c r="D522" s="12" t="n">
        <v>76</v>
      </c>
      <c r="E522" s="12" t="s">
        <v>1078</v>
      </c>
      <c r="F522" s="12" t="s">
        <v>132</v>
      </c>
      <c r="G522" s="12" t="s">
        <v>1084</v>
      </c>
      <c r="H522" s="12" t="s">
        <v>942</v>
      </c>
      <c r="I522" s="12" t="s">
        <v>164</v>
      </c>
      <c r="J522" s="12" t="s">
        <v>165</v>
      </c>
      <c r="K522" s="12" t="s">
        <v>16</v>
      </c>
      <c r="L522" s="12" t="s">
        <v>87</v>
      </c>
      <c r="M522" s="11" t="s">
        <v>88</v>
      </c>
    </row>
    <row r="523" customFormat="false" ht="55.2" hidden="false" customHeight="false" outlineLevel="0" collapsed="false">
      <c r="A523" s="11" t="s">
        <v>1085</v>
      </c>
      <c r="B523" s="12" t="s">
        <v>52</v>
      </c>
      <c r="C523" s="12" t="s">
        <v>51</v>
      </c>
      <c r="D523" s="12" t="n">
        <v>77</v>
      </c>
      <c r="E523" s="12" t="s">
        <v>1078</v>
      </c>
      <c r="F523" s="12" t="s">
        <v>132</v>
      </c>
      <c r="G523" s="12" t="s">
        <v>1086</v>
      </c>
      <c r="H523" s="12" t="s">
        <v>942</v>
      </c>
      <c r="I523" s="12" t="s">
        <v>164</v>
      </c>
      <c r="J523" s="12" t="s">
        <v>165</v>
      </c>
      <c r="K523" s="12" t="s">
        <v>16</v>
      </c>
      <c r="L523" s="12" t="s">
        <v>87</v>
      </c>
      <c r="M523" s="11" t="s">
        <v>88</v>
      </c>
    </row>
    <row r="524" customFormat="false" ht="28.35" hidden="false" customHeight="false" outlineLevel="0" collapsed="false">
      <c r="A524" s="11" t="s">
        <v>1087</v>
      </c>
      <c r="B524" s="12" t="s">
        <v>52</v>
      </c>
      <c r="C524" s="12" t="s">
        <v>51</v>
      </c>
      <c r="D524" s="12" t="n">
        <v>78</v>
      </c>
      <c r="E524" s="12" t="s">
        <v>1078</v>
      </c>
      <c r="F524" s="12" t="s">
        <v>132</v>
      </c>
      <c r="G524" s="12" t="s">
        <v>385</v>
      </c>
      <c r="H524" s="12" t="s">
        <v>942</v>
      </c>
      <c r="I524" s="12" t="s">
        <v>164</v>
      </c>
      <c r="J524" s="12" t="s">
        <v>165</v>
      </c>
      <c r="K524" s="12" t="s">
        <v>16</v>
      </c>
      <c r="L524" s="12" t="s">
        <v>87</v>
      </c>
      <c r="M524" s="11" t="s">
        <v>88</v>
      </c>
    </row>
    <row r="525" customFormat="false" ht="41.75" hidden="false" customHeight="false" outlineLevel="0" collapsed="false">
      <c r="A525" s="11" t="s">
        <v>1088</v>
      </c>
      <c r="B525" s="12" t="s">
        <v>52</v>
      </c>
      <c r="C525" s="12" t="s">
        <v>51</v>
      </c>
      <c r="D525" s="12" t="n">
        <v>79</v>
      </c>
      <c r="E525" s="12" t="s">
        <v>1078</v>
      </c>
      <c r="F525" s="12" t="s">
        <v>98</v>
      </c>
      <c r="G525" s="12" t="s">
        <v>1089</v>
      </c>
      <c r="H525" s="12" t="s">
        <v>942</v>
      </c>
      <c r="I525" s="12" t="s">
        <v>175</v>
      </c>
      <c r="J525" s="12" t="s">
        <v>176</v>
      </c>
      <c r="K525" s="12" t="s">
        <v>22</v>
      </c>
      <c r="L525" s="12" t="s">
        <v>96</v>
      </c>
      <c r="M525" s="11" t="s">
        <v>88</v>
      </c>
    </row>
    <row r="526" customFormat="false" ht="28.35" hidden="false" customHeight="false" outlineLevel="0" collapsed="false">
      <c r="A526" s="11" t="s">
        <v>1090</v>
      </c>
      <c r="B526" s="12" t="s">
        <v>52</v>
      </c>
      <c r="C526" s="12" t="s">
        <v>51</v>
      </c>
      <c r="D526" s="12" t="n">
        <v>80</v>
      </c>
      <c r="E526" s="12" t="s">
        <v>1078</v>
      </c>
      <c r="F526" s="12" t="s">
        <v>132</v>
      </c>
      <c r="G526" s="12" t="s">
        <v>1091</v>
      </c>
      <c r="H526" s="12" t="s">
        <v>942</v>
      </c>
      <c r="I526" s="12" t="s">
        <v>164</v>
      </c>
      <c r="J526" s="12" t="s">
        <v>165</v>
      </c>
      <c r="K526" s="12" t="s">
        <v>16</v>
      </c>
      <c r="L526" s="12" t="s">
        <v>87</v>
      </c>
      <c r="M526" s="11" t="s">
        <v>88</v>
      </c>
    </row>
    <row r="527" customFormat="false" ht="28.35" hidden="false" customHeight="false" outlineLevel="0" collapsed="false">
      <c r="A527" s="11" t="s">
        <v>1092</v>
      </c>
      <c r="B527" s="12" t="s">
        <v>52</v>
      </c>
      <c r="C527" s="12" t="s">
        <v>51</v>
      </c>
      <c r="D527" s="12" t="n">
        <v>81</v>
      </c>
      <c r="E527" s="12" t="s">
        <v>1093</v>
      </c>
      <c r="F527" s="12" t="s">
        <v>82</v>
      </c>
      <c r="G527" s="12" t="s">
        <v>1093</v>
      </c>
      <c r="H527" s="12" t="s">
        <v>731</v>
      </c>
      <c r="I527" s="12" t="s">
        <v>158</v>
      </c>
      <c r="J527" s="12" t="s">
        <v>159</v>
      </c>
      <c r="K527" s="12" t="s">
        <v>19</v>
      </c>
      <c r="L527" s="12" t="s">
        <v>87</v>
      </c>
      <c r="M527" s="11" t="s">
        <v>88</v>
      </c>
    </row>
    <row r="528" customFormat="false" ht="28.35" hidden="false" customHeight="false" outlineLevel="0" collapsed="false">
      <c r="A528" s="11" t="s">
        <v>1094</v>
      </c>
      <c r="B528" s="12" t="s">
        <v>52</v>
      </c>
      <c r="C528" s="12" t="s">
        <v>51</v>
      </c>
      <c r="D528" s="12" t="n">
        <v>82</v>
      </c>
      <c r="E528" s="12" t="s">
        <v>1095</v>
      </c>
      <c r="F528" s="12" t="s">
        <v>82</v>
      </c>
      <c r="G528" s="12" t="s">
        <v>1095</v>
      </c>
      <c r="H528" s="12" t="s">
        <v>942</v>
      </c>
      <c r="I528" s="12" t="s">
        <v>158</v>
      </c>
      <c r="J528" s="12" t="s">
        <v>159</v>
      </c>
      <c r="K528" s="12" t="s">
        <v>19</v>
      </c>
      <c r="L528" s="12" t="s">
        <v>87</v>
      </c>
      <c r="M528" s="11" t="s">
        <v>88</v>
      </c>
    </row>
    <row r="529" customFormat="false" ht="55.2" hidden="false" customHeight="false" outlineLevel="0" collapsed="false">
      <c r="A529" s="11" t="s">
        <v>1096</v>
      </c>
      <c r="B529" s="12" t="s">
        <v>52</v>
      </c>
      <c r="C529" s="12" t="s">
        <v>51</v>
      </c>
      <c r="D529" s="12" t="n">
        <v>83</v>
      </c>
      <c r="E529" s="12" t="s">
        <v>1095</v>
      </c>
      <c r="F529" s="12" t="s">
        <v>132</v>
      </c>
      <c r="G529" s="12" t="s">
        <v>1097</v>
      </c>
      <c r="H529" s="12" t="s">
        <v>731</v>
      </c>
      <c r="I529" s="12" t="s">
        <v>164</v>
      </c>
      <c r="J529" s="12" t="s">
        <v>165</v>
      </c>
      <c r="K529" s="12" t="s">
        <v>16</v>
      </c>
      <c r="L529" s="12" t="s">
        <v>87</v>
      </c>
      <c r="M529" s="11" t="s">
        <v>88</v>
      </c>
    </row>
    <row r="530" customFormat="false" ht="28.35" hidden="false" customHeight="false" outlineLevel="0" collapsed="false">
      <c r="A530" s="11" t="s">
        <v>1098</v>
      </c>
      <c r="B530" s="12" t="s">
        <v>52</v>
      </c>
      <c r="C530" s="12" t="s">
        <v>51</v>
      </c>
      <c r="D530" s="12" t="n">
        <v>84</v>
      </c>
      <c r="E530" s="12" t="s">
        <v>1095</v>
      </c>
      <c r="F530" s="12" t="s">
        <v>132</v>
      </c>
      <c r="G530" s="12" t="s">
        <v>351</v>
      </c>
      <c r="H530" s="12" t="s">
        <v>942</v>
      </c>
      <c r="I530" s="12" t="s">
        <v>164</v>
      </c>
      <c r="J530" s="12" t="s">
        <v>165</v>
      </c>
      <c r="K530" s="12" t="s">
        <v>16</v>
      </c>
      <c r="L530" s="12" t="s">
        <v>87</v>
      </c>
      <c r="M530" s="11" t="s">
        <v>88</v>
      </c>
    </row>
    <row r="531" customFormat="false" ht="55.2" hidden="false" customHeight="false" outlineLevel="0" collapsed="false">
      <c r="A531" s="11" t="s">
        <v>1099</v>
      </c>
      <c r="B531" s="12" t="s">
        <v>52</v>
      </c>
      <c r="C531" s="12" t="s">
        <v>51</v>
      </c>
      <c r="D531" s="12" t="n">
        <v>85</v>
      </c>
      <c r="E531" s="12" t="s">
        <v>1095</v>
      </c>
      <c r="F531" s="12" t="s">
        <v>98</v>
      </c>
      <c r="G531" s="12" t="s">
        <v>1100</v>
      </c>
      <c r="H531" s="12" t="s">
        <v>731</v>
      </c>
      <c r="I531" s="12" t="s">
        <v>168</v>
      </c>
      <c r="J531" s="12" t="s">
        <v>169</v>
      </c>
      <c r="K531" s="12" t="s">
        <v>31</v>
      </c>
      <c r="L531" s="12" t="s">
        <v>96</v>
      </c>
      <c r="M531" s="11" t="s">
        <v>170</v>
      </c>
    </row>
    <row r="532" customFormat="false" ht="95.5" hidden="false" customHeight="false" outlineLevel="0" collapsed="false">
      <c r="A532" s="11" t="s">
        <v>1101</v>
      </c>
      <c r="B532" s="12" t="s">
        <v>52</v>
      </c>
      <c r="C532" s="12" t="s">
        <v>51</v>
      </c>
      <c r="D532" s="12" t="n">
        <v>86</v>
      </c>
      <c r="E532" s="12" t="s">
        <v>1095</v>
      </c>
      <c r="F532" s="12" t="s">
        <v>98</v>
      </c>
      <c r="G532" s="12" t="s">
        <v>1102</v>
      </c>
      <c r="H532" s="12" t="s">
        <v>731</v>
      </c>
      <c r="I532" s="12" t="s">
        <v>168</v>
      </c>
      <c r="J532" s="12" t="s">
        <v>169</v>
      </c>
      <c r="K532" s="12" t="s">
        <v>31</v>
      </c>
      <c r="L532" s="12" t="s">
        <v>96</v>
      </c>
      <c r="M532" s="11" t="s">
        <v>170</v>
      </c>
    </row>
    <row r="533" customFormat="false" ht="28.35" hidden="false" customHeight="false" outlineLevel="0" collapsed="false">
      <c r="A533" s="11" t="s">
        <v>1103</v>
      </c>
      <c r="B533" s="12" t="s">
        <v>52</v>
      </c>
      <c r="C533" s="12" t="s">
        <v>51</v>
      </c>
      <c r="D533" s="12" t="n">
        <v>87</v>
      </c>
      <c r="E533" s="12" t="s">
        <v>1095</v>
      </c>
      <c r="F533" s="12" t="s">
        <v>132</v>
      </c>
      <c r="G533" s="12" t="s">
        <v>1104</v>
      </c>
      <c r="H533" s="12" t="s">
        <v>731</v>
      </c>
      <c r="I533" s="12" t="s">
        <v>164</v>
      </c>
      <c r="J533" s="12" t="s">
        <v>165</v>
      </c>
      <c r="K533" s="12" t="s">
        <v>16</v>
      </c>
      <c r="L533" s="12" t="s">
        <v>87</v>
      </c>
      <c r="M533" s="11" t="s">
        <v>88</v>
      </c>
    </row>
    <row r="534" customFormat="false" ht="28.35" hidden="false" customHeight="false" outlineLevel="0" collapsed="false">
      <c r="A534" s="11" t="s">
        <v>1105</v>
      </c>
      <c r="B534" s="12" t="s">
        <v>52</v>
      </c>
      <c r="C534" s="12" t="s">
        <v>51</v>
      </c>
      <c r="D534" s="12" t="n">
        <v>88</v>
      </c>
      <c r="E534" s="12" t="s">
        <v>1095</v>
      </c>
      <c r="F534" s="12" t="s">
        <v>132</v>
      </c>
      <c r="G534" s="12" t="s">
        <v>1106</v>
      </c>
      <c r="H534" s="12" t="s">
        <v>942</v>
      </c>
      <c r="I534" s="12" t="s">
        <v>164</v>
      </c>
      <c r="J534" s="12" t="s">
        <v>165</v>
      </c>
      <c r="K534" s="12" t="s">
        <v>16</v>
      </c>
      <c r="L534" s="12" t="s">
        <v>87</v>
      </c>
      <c r="M534" s="11" t="s">
        <v>88</v>
      </c>
    </row>
    <row r="535" customFormat="false" ht="28.35" hidden="false" customHeight="false" outlineLevel="0" collapsed="false">
      <c r="A535" s="11" t="s">
        <v>1107</v>
      </c>
      <c r="B535" s="12" t="s">
        <v>52</v>
      </c>
      <c r="C535" s="12" t="s">
        <v>51</v>
      </c>
      <c r="D535" s="12" t="n">
        <v>89</v>
      </c>
      <c r="E535" s="12" t="s">
        <v>1095</v>
      </c>
      <c r="F535" s="12" t="s">
        <v>132</v>
      </c>
      <c r="G535" s="12" t="s">
        <v>1108</v>
      </c>
      <c r="H535" s="12" t="s">
        <v>942</v>
      </c>
      <c r="I535" s="12" t="s">
        <v>164</v>
      </c>
      <c r="J535" s="12" t="s">
        <v>165</v>
      </c>
      <c r="K535" s="12" t="s">
        <v>16</v>
      </c>
      <c r="L535" s="12" t="s">
        <v>87</v>
      </c>
      <c r="M535" s="11" t="s">
        <v>88</v>
      </c>
    </row>
    <row r="536" customFormat="false" ht="41.75" hidden="false" customHeight="false" outlineLevel="0" collapsed="false">
      <c r="A536" s="11" t="s">
        <v>1109</v>
      </c>
      <c r="B536" s="12" t="s">
        <v>52</v>
      </c>
      <c r="C536" s="12" t="s">
        <v>51</v>
      </c>
      <c r="D536" s="12" t="n">
        <v>90</v>
      </c>
      <c r="E536" s="12" t="s">
        <v>1095</v>
      </c>
      <c r="F536" s="12" t="s">
        <v>132</v>
      </c>
      <c r="G536" s="12" t="s">
        <v>1110</v>
      </c>
      <c r="H536" s="12" t="s">
        <v>942</v>
      </c>
      <c r="I536" s="12" t="s">
        <v>164</v>
      </c>
      <c r="J536" s="12" t="s">
        <v>165</v>
      </c>
      <c r="K536" s="12" t="s">
        <v>16</v>
      </c>
      <c r="L536" s="12" t="s">
        <v>87</v>
      </c>
      <c r="M536" s="11" t="s">
        <v>88</v>
      </c>
    </row>
    <row r="537" customFormat="false" ht="28.35" hidden="false" customHeight="false" outlineLevel="0" collapsed="false">
      <c r="A537" s="11" t="s">
        <v>1111</v>
      </c>
      <c r="B537" s="12" t="s">
        <v>52</v>
      </c>
      <c r="C537" s="12" t="s">
        <v>51</v>
      </c>
      <c r="D537" s="12" t="n">
        <v>91</v>
      </c>
      <c r="E537" s="12" t="s">
        <v>1095</v>
      </c>
      <c r="F537" s="12" t="s">
        <v>132</v>
      </c>
      <c r="G537" s="12" t="s">
        <v>1112</v>
      </c>
      <c r="H537" s="12" t="s">
        <v>942</v>
      </c>
      <c r="I537" s="12" t="s">
        <v>164</v>
      </c>
      <c r="J537" s="12" t="s">
        <v>165</v>
      </c>
      <c r="K537" s="12" t="s">
        <v>16</v>
      </c>
      <c r="L537" s="12" t="s">
        <v>87</v>
      </c>
      <c r="M537" s="11" t="s">
        <v>88</v>
      </c>
    </row>
    <row r="538" customFormat="false" ht="28.35" hidden="false" customHeight="false" outlineLevel="0" collapsed="false">
      <c r="A538" s="11" t="s">
        <v>1113</v>
      </c>
      <c r="B538" s="12" t="s">
        <v>52</v>
      </c>
      <c r="C538" s="12" t="s">
        <v>51</v>
      </c>
      <c r="D538" s="12" t="n">
        <v>92</v>
      </c>
      <c r="E538" s="12" t="s">
        <v>1095</v>
      </c>
      <c r="F538" s="12" t="s">
        <v>132</v>
      </c>
      <c r="G538" s="12" t="s">
        <v>1114</v>
      </c>
      <c r="H538" s="12" t="s">
        <v>942</v>
      </c>
      <c r="I538" s="12" t="s">
        <v>164</v>
      </c>
      <c r="J538" s="12" t="s">
        <v>165</v>
      </c>
      <c r="K538" s="12" t="s">
        <v>16</v>
      </c>
      <c r="L538" s="12" t="s">
        <v>87</v>
      </c>
      <c r="M538" s="11" t="s">
        <v>88</v>
      </c>
    </row>
    <row r="539" customFormat="false" ht="28.35" hidden="false" customHeight="false" outlineLevel="0" collapsed="false">
      <c r="A539" s="11" t="s">
        <v>1115</v>
      </c>
      <c r="B539" s="12" t="s">
        <v>52</v>
      </c>
      <c r="C539" s="12" t="s">
        <v>51</v>
      </c>
      <c r="D539" s="12" t="n">
        <v>93</v>
      </c>
      <c r="E539" s="12" t="s">
        <v>1095</v>
      </c>
      <c r="F539" s="12" t="s">
        <v>132</v>
      </c>
      <c r="G539" s="12" t="s">
        <v>1116</v>
      </c>
      <c r="H539" s="12" t="s">
        <v>942</v>
      </c>
      <c r="I539" s="12" t="s">
        <v>164</v>
      </c>
      <c r="J539" s="12" t="s">
        <v>165</v>
      </c>
      <c r="K539" s="12" t="s">
        <v>16</v>
      </c>
      <c r="L539" s="12" t="s">
        <v>87</v>
      </c>
      <c r="M539" s="11" t="s">
        <v>88</v>
      </c>
    </row>
    <row r="540" customFormat="false" ht="28.35" hidden="false" customHeight="false" outlineLevel="0" collapsed="false">
      <c r="A540" s="11" t="s">
        <v>1117</v>
      </c>
      <c r="B540" s="12" t="s">
        <v>52</v>
      </c>
      <c r="C540" s="12" t="s">
        <v>51</v>
      </c>
      <c r="D540" s="12" t="n">
        <v>94</v>
      </c>
      <c r="E540" s="12" t="s">
        <v>1095</v>
      </c>
      <c r="F540" s="12" t="s">
        <v>132</v>
      </c>
      <c r="G540" s="12" t="s">
        <v>1118</v>
      </c>
      <c r="H540" s="12" t="s">
        <v>942</v>
      </c>
      <c r="I540" s="12" t="s">
        <v>164</v>
      </c>
      <c r="J540" s="12" t="s">
        <v>165</v>
      </c>
      <c r="K540" s="12" t="s">
        <v>16</v>
      </c>
      <c r="L540" s="12" t="s">
        <v>87</v>
      </c>
      <c r="M540" s="11" t="s">
        <v>88</v>
      </c>
    </row>
    <row r="541" customFormat="false" ht="28.35" hidden="false" customHeight="false" outlineLevel="0" collapsed="false">
      <c r="A541" s="11" t="s">
        <v>1119</v>
      </c>
      <c r="B541" s="12" t="s">
        <v>52</v>
      </c>
      <c r="C541" s="12" t="s">
        <v>51</v>
      </c>
      <c r="D541" s="12" t="n">
        <v>95</v>
      </c>
      <c r="E541" s="12" t="s">
        <v>1095</v>
      </c>
      <c r="F541" s="12" t="s">
        <v>132</v>
      </c>
      <c r="G541" s="12" t="s">
        <v>1120</v>
      </c>
      <c r="H541" s="12" t="s">
        <v>942</v>
      </c>
      <c r="I541" s="12" t="s">
        <v>164</v>
      </c>
      <c r="J541" s="12" t="s">
        <v>165</v>
      </c>
      <c r="K541" s="12" t="s">
        <v>16</v>
      </c>
      <c r="L541" s="12" t="s">
        <v>87</v>
      </c>
      <c r="M541" s="11" t="s">
        <v>88</v>
      </c>
    </row>
    <row r="542" customFormat="false" ht="28.35" hidden="false" customHeight="false" outlineLevel="0" collapsed="false">
      <c r="A542" s="11" t="s">
        <v>1121</v>
      </c>
      <c r="B542" s="12" t="s">
        <v>52</v>
      </c>
      <c r="C542" s="12" t="s">
        <v>51</v>
      </c>
      <c r="D542" s="12" t="n">
        <v>96</v>
      </c>
      <c r="E542" s="12" t="s">
        <v>1095</v>
      </c>
      <c r="F542" s="12" t="s">
        <v>132</v>
      </c>
      <c r="G542" s="12" t="s">
        <v>1122</v>
      </c>
      <c r="H542" s="12" t="s">
        <v>942</v>
      </c>
      <c r="I542" s="12" t="s">
        <v>164</v>
      </c>
      <c r="J542" s="12" t="s">
        <v>165</v>
      </c>
      <c r="K542" s="12" t="s">
        <v>16</v>
      </c>
      <c r="L542" s="12" t="s">
        <v>87</v>
      </c>
      <c r="M542" s="11" t="s">
        <v>88</v>
      </c>
    </row>
    <row r="543" customFormat="false" ht="68.65" hidden="false" customHeight="false" outlineLevel="0" collapsed="false">
      <c r="A543" s="11" t="s">
        <v>1123</v>
      </c>
      <c r="B543" s="12" t="s">
        <v>52</v>
      </c>
      <c r="C543" s="12" t="s">
        <v>51</v>
      </c>
      <c r="D543" s="12" t="n">
        <v>97</v>
      </c>
      <c r="E543" s="12" t="s">
        <v>1095</v>
      </c>
      <c r="F543" s="12" t="s">
        <v>98</v>
      </c>
      <c r="G543" s="12" t="s">
        <v>1124</v>
      </c>
      <c r="H543" s="12" t="s">
        <v>942</v>
      </c>
      <c r="I543" s="12" t="s">
        <v>175</v>
      </c>
      <c r="J543" s="12" t="s">
        <v>176</v>
      </c>
      <c r="K543" s="12" t="s">
        <v>22</v>
      </c>
      <c r="L543" s="12" t="s">
        <v>96</v>
      </c>
      <c r="M543" s="11" t="s">
        <v>88</v>
      </c>
    </row>
    <row r="544" customFormat="false" ht="28.35" hidden="false" customHeight="false" outlineLevel="0" collapsed="false">
      <c r="A544" s="11" t="s">
        <v>1125</v>
      </c>
      <c r="B544" s="12" t="s">
        <v>52</v>
      </c>
      <c r="C544" s="12" t="s">
        <v>51</v>
      </c>
      <c r="D544" s="12" t="n">
        <v>98</v>
      </c>
      <c r="E544" s="12" t="s">
        <v>1095</v>
      </c>
      <c r="F544" s="12" t="s">
        <v>132</v>
      </c>
      <c r="G544" s="12" t="s">
        <v>1126</v>
      </c>
      <c r="H544" s="12" t="s">
        <v>942</v>
      </c>
      <c r="I544" s="12" t="s">
        <v>164</v>
      </c>
      <c r="J544" s="12" t="s">
        <v>165</v>
      </c>
      <c r="K544" s="12" t="s">
        <v>16</v>
      </c>
      <c r="L544" s="12" t="s">
        <v>87</v>
      </c>
      <c r="M544" s="11" t="s">
        <v>88</v>
      </c>
    </row>
    <row r="545" customFormat="false" ht="28.35" hidden="false" customHeight="false" outlineLevel="0" collapsed="false">
      <c r="A545" s="11" t="s">
        <v>1127</v>
      </c>
      <c r="B545" s="12" t="s">
        <v>52</v>
      </c>
      <c r="C545" s="12" t="s">
        <v>51</v>
      </c>
      <c r="D545" s="12" t="n">
        <v>99</v>
      </c>
      <c r="E545" s="12" t="s">
        <v>1095</v>
      </c>
      <c r="F545" s="12" t="s">
        <v>132</v>
      </c>
      <c r="G545" s="12" t="s">
        <v>1128</v>
      </c>
      <c r="H545" s="12" t="s">
        <v>942</v>
      </c>
      <c r="I545" s="12" t="s">
        <v>164</v>
      </c>
      <c r="J545" s="12" t="s">
        <v>165</v>
      </c>
      <c r="K545" s="12" t="s">
        <v>16</v>
      </c>
      <c r="L545" s="12" t="s">
        <v>87</v>
      </c>
      <c r="M545" s="11" t="s">
        <v>88</v>
      </c>
    </row>
    <row r="546" customFormat="false" ht="28.35" hidden="false" customHeight="false" outlineLevel="0" collapsed="false">
      <c r="A546" s="11" t="s">
        <v>1129</v>
      </c>
      <c r="B546" s="12" t="s">
        <v>52</v>
      </c>
      <c r="C546" s="12" t="s">
        <v>51</v>
      </c>
      <c r="D546" s="12" t="n">
        <v>100</v>
      </c>
      <c r="E546" s="12" t="s">
        <v>1095</v>
      </c>
      <c r="F546" s="12" t="s">
        <v>132</v>
      </c>
      <c r="G546" s="12" t="s">
        <v>1130</v>
      </c>
      <c r="H546" s="12" t="s">
        <v>942</v>
      </c>
      <c r="I546" s="12" t="s">
        <v>164</v>
      </c>
      <c r="J546" s="12" t="s">
        <v>165</v>
      </c>
      <c r="K546" s="12" t="s">
        <v>16</v>
      </c>
      <c r="L546" s="12" t="s">
        <v>87</v>
      </c>
      <c r="M546" s="11" t="s">
        <v>88</v>
      </c>
    </row>
    <row r="547" customFormat="false" ht="28.35" hidden="false" customHeight="false" outlineLevel="0" collapsed="false">
      <c r="A547" s="11" t="s">
        <v>1131</v>
      </c>
      <c r="B547" s="12" t="s">
        <v>52</v>
      </c>
      <c r="C547" s="12" t="s">
        <v>51</v>
      </c>
      <c r="D547" s="12" t="n">
        <v>101</v>
      </c>
      <c r="E547" s="12" t="s">
        <v>1095</v>
      </c>
      <c r="F547" s="12" t="s">
        <v>132</v>
      </c>
      <c r="G547" s="12" t="s">
        <v>1132</v>
      </c>
      <c r="H547" s="12" t="s">
        <v>942</v>
      </c>
      <c r="I547" s="12" t="s">
        <v>164</v>
      </c>
      <c r="J547" s="12" t="s">
        <v>165</v>
      </c>
      <c r="K547" s="12" t="s">
        <v>16</v>
      </c>
      <c r="L547" s="12" t="s">
        <v>87</v>
      </c>
      <c r="M547" s="11" t="s">
        <v>88</v>
      </c>
    </row>
    <row r="548" customFormat="false" ht="28.35" hidden="false" customHeight="false" outlineLevel="0" collapsed="false">
      <c r="A548" s="11" t="s">
        <v>1133</v>
      </c>
      <c r="B548" s="12" t="s">
        <v>52</v>
      </c>
      <c r="C548" s="12" t="s">
        <v>51</v>
      </c>
      <c r="D548" s="12" t="n">
        <v>102</v>
      </c>
      <c r="E548" s="12" t="s">
        <v>1095</v>
      </c>
      <c r="F548" s="12" t="s">
        <v>132</v>
      </c>
      <c r="G548" s="12" t="s">
        <v>1134</v>
      </c>
      <c r="H548" s="12" t="s">
        <v>942</v>
      </c>
      <c r="I548" s="12" t="s">
        <v>164</v>
      </c>
      <c r="J548" s="12" t="s">
        <v>165</v>
      </c>
      <c r="K548" s="12" t="s">
        <v>16</v>
      </c>
      <c r="L548" s="12" t="s">
        <v>87</v>
      </c>
      <c r="M548" s="11" t="s">
        <v>88</v>
      </c>
    </row>
    <row r="549" customFormat="false" ht="28.35" hidden="false" customHeight="false" outlineLevel="0" collapsed="false">
      <c r="A549" s="11" t="s">
        <v>1135</v>
      </c>
      <c r="B549" s="12" t="s">
        <v>52</v>
      </c>
      <c r="C549" s="12" t="s">
        <v>51</v>
      </c>
      <c r="D549" s="12" t="n">
        <v>103</v>
      </c>
      <c r="E549" s="12" t="s">
        <v>1095</v>
      </c>
      <c r="F549" s="12" t="s">
        <v>132</v>
      </c>
      <c r="G549" s="12" t="s">
        <v>1136</v>
      </c>
      <c r="H549" s="12" t="s">
        <v>942</v>
      </c>
      <c r="I549" s="12" t="s">
        <v>164</v>
      </c>
      <c r="J549" s="12" t="s">
        <v>165</v>
      </c>
      <c r="K549" s="12" t="s">
        <v>16</v>
      </c>
      <c r="L549" s="12" t="s">
        <v>87</v>
      </c>
      <c r="M549" s="11" t="s">
        <v>88</v>
      </c>
    </row>
    <row r="550" customFormat="false" ht="28.35" hidden="false" customHeight="false" outlineLevel="0" collapsed="false">
      <c r="A550" s="11" t="s">
        <v>1137</v>
      </c>
      <c r="B550" s="12" t="s">
        <v>52</v>
      </c>
      <c r="C550" s="12" t="s">
        <v>51</v>
      </c>
      <c r="D550" s="12" t="n">
        <v>104</v>
      </c>
      <c r="E550" s="12" t="s">
        <v>1095</v>
      </c>
      <c r="F550" s="12" t="s">
        <v>132</v>
      </c>
      <c r="G550" s="12" t="s">
        <v>1138</v>
      </c>
      <c r="H550" s="12" t="s">
        <v>942</v>
      </c>
      <c r="I550" s="12" t="s">
        <v>164</v>
      </c>
      <c r="J550" s="12" t="s">
        <v>165</v>
      </c>
      <c r="K550" s="12" t="s">
        <v>16</v>
      </c>
      <c r="L550" s="12" t="s">
        <v>87</v>
      </c>
      <c r="M550" s="11" t="s">
        <v>88</v>
      </c>
    </row>
    <row r="551" customFormat="false" ht="95.5" hidden="false" customHeight="false" outlineLevel="0" collapsed="false">
      <c r="A551" s="11" t="s">
        <v>1139</v>
      </c>
      <c r="B551" s="12" t="s">
        <v>52</v>
      </c>
      <c r="C551" s="12" t="s">
        <v>51</v>
      </c>
      <c r="D551" s="12" t="n">
        <v>105</v>
      </c>
      <c r="E551" s="12" t="s">
        <v>1095</v>
      </c>
      <c r="F551" s="12" t="s">
        <v>98</v>
      </c>
      <c r="G551" s="12" t="s">
        <v>1140</v>
      </c>
      <c r="H551" s="12" t="s">
        <v>942</v>
      </c>
      <c r="I551" s="12" t="s">
        <v>354</v>
      </c>
      <c r="J551" s="12" t="s">
        <v>355</v>
      </c>
      <c r="K551" s="12" t="s">
        <v>25</v>
      </c>
      <c r="L551" s="12" t="s">
        <v>96</v>
      </c>
      <c r="M551" s="11" t="s">
        <v>170</v>
      </c>
    </row>
    <row r="552" customFormat="false" ht="28.35" hidden="false" customHeight="false" outlineLevel="0" collapsed="false">
      <c r="A552" s="11" t="s">
        <v>1141</v>
      </c>
      <c r="B552" s="12" t="s">
        <v>52</v>
      </c>
      <c r="C552" s="12" t="s">
        <v>51</v>
      </c>
      <c r="D552" s="12" t="n">
        <v>106</v>
      </c>
      <c r="E552" s="12" t="s">
        <v>1142</v>
      </c>
      <c r="F552" s="12" t="s">
        <v>82</v>
      </c>
      <c r="G552" s="12" t="s">
        <v>1142</v>
      </c>
      <c r="H552" s="12" t="s">
        <v>942</v>
      </c>
      <c r="I552" s="12" t="s">
        <v>158</v>
      </c>
      <c r="J552" s="12" t="s">
        <v>159</v>
      </c>
      <c r="K552" s="12" t="s">
        <v>19</v>
      </c>
      <c r="L552" s="12" t="s">
        <v>87</v>
      </c>
      <c r="M552" s="11" t="s">
        <v>88</v>
      </c>
    </row>
    <row r="553" customFormat="false" ht="28.35" hidden="false" customHeight="false" outlineLevel="0" collapsed="false">
      <c r="A553" s="11" t="s">
        <v>1143</v>
      </c>
      <c r="B553" s="12" t="s">
        <v>52</v>
      </c>
      <c r="C553" s="12" t="s">
        <v>51</v>
      </c>
      <c r="D553" s="12" t="n">
        <v>107</v>
      </c>
      <c r="E553" s="12" t="s">
        <v>1142</v>
      </c>
      <c r="F553" s="12" t="s">
        <v>132</v>
      </c>
      <c r="G553" s="12" t="s">
        <v>1144</v>
      </c>
      <c r="H553" s="12" t="s">
        <v>942</v>
      </c>
      <c r="I553" s="12" t="s">
        <v>164</v>
      </c>
      <c r="J553" s="12" t="s">
        <v>165</v>
      </c>
      <c r="K553" s="12" t="s">
        <v>16</v>
      </c>
      <c r="L553" s="12" t="s">
        <v>87</v>
      </c>
      <c r="M553" s="11" t="s">
        <v>88</v>
      </c>
    </row>
    <row r="554" customFormat="false" ht="28.35" hidden="false" customHeight="false" outlineLevel="0" collapsed="false">
      <c r="A554" s="11" t="s">
        <v>1145</v>
      </c>
      <c r="B554" s="12" t="s">
        <v>52</v>
      </c>
      <c r="C554" s="12" t="s">
        <v>51</v>
      </c>
      <c r="D554" s="12" t="n">
        <v>108</v>
      </c>
      <c r="E554" s="12" t="s">
        <v>1142</v>
      </c>
      <c r="F554" s="12" t="s">
        <v>132</v>
      </c>
      <c r="G554" s="12" t="s">
        <v>1146</v>
      </c>
      <c r="H554" s="12" t="s">
        <v>942</v>
      </c>
      <c r="I554" s="12" t="s">
        <v>164</v>
      </c>
      <c r="J554" s="12" t="s">
        <v>165</v>
      </c>
      <c r="K554" s="12" t="s">
        <v>16</v>
      </c>
      <c r="L554" s="12" t="s">
        <v>87</v>
      </c>
      <c r="M554" s="11" t="s">
        <v>88</v>
      </c>
    </row>
    <row r="555" customFormat="false" ht="28.35" hidden="false" customHeight="false" outlineLevel="0" collapsed="false">
      <c r="A555" s="11" t="s">
        <v>1147</v>
      </c>
      <c r="B555" s="12" t="s">
        <v>52</v>
      </c>
      <c r="C555" s="12" t="s">
        <v>51</v>
      </c>
      <c r="D555" s="12" t="n">
        <v>109</v>
      </c>
      <c r="E555" s="12" t="s">
        <v>1142</v>
      </c>
      <c r="F555" s="12" t="s">
        <v>132</v>
      </c>
      <c r="G555" s="12" t="s">
        <v>1148</v>
      </c>
      <c r="H555" s="12" t="s">
        <v>942</v>
      </c>
      <c r="I555" s="12" t="s">
        <v>164</v>
      </c>
      <c r="J555" s="12" t="s">
        <v>165</v>
      </c>
      <c r="K555" s="12" t="s">
        <v>16</v>
      </c>
      <c r="L555" s="12" t="s">
        <v>87</v>
      </c>
      <c r="M555" s="11" t="s">
        <v>88</v>
      </c>
    </row>
    <row r="556" customFormat="false" ht="28.35" hidden="false" customHeight="false" outlineLevel="0" collapsed="false">
      <c r="A556" s="11" t="s">
        <v>1149</v>
      </c>
      <c r="B556" s="12" t="s">
        <v>52</v>
      </c>
      <c r="C556" s="12" t="s">
        <v>51</v>
      </c>
      <c r="D556" s="12" t="n">
        <v>110</v>
      </c>
      <c r="E556" s="12" t="s">
        <v>1142</v>
      </c>
      <c r="F556" s="12" t="s">
        <v>132</v>
      </c>
      <c r="G556" s="12" t="s">
        <v>1150</v>
      </c>
      <c r="H556" s="12" t="s">
        <v>942</v>
      </c>
      <c r="I556" s="12" t="s">
        <v>164</v>
      </c>
      <c r="J556" s="12" t="s">
        <v>165</v>
      </c>
      <c r="K556" s="12" t="s">
        <v>16</v>
      </c>
      <c r="L556" s="12" t="s">
        <v>87</v>
      </c>
      <c r="M556" s="11" t="s">
        <v>88</v>
      </c>
    </row>
    <row r="557" customFormat="false" ht="28.35" hidden="false" customHeight="false" outlineLevel="0" collapsed="false">
      <c r="A557" s="11" t="s">
        <v>1151</v>
      </c>
      <c r="B557" s="12" t="s">
        <v>52</v>
      </c>
      <c r="C557" s="12" t="s">
        <v>51</v>
      </c>
      <c r="D557" s="12" t="n">
        <v>111</v>
      </c>
      <c r="E557" s="12" t="s">
        <v>1142</v>
      </c>
      <c r="F557" s="12" t="s">
        <v>132</v>
      </c>
      <c r="G557" s="12" t="s">
        <v>1152</v>
      </c>
      <c r="H557" s="12" t="s">
        <v>942</v>
      </c>
      <c r="I557" s="12" t="s">
        <v>164</v>
      </c>
      <c r="J557" s="12" t="s">
        <v>165</v>
      </c>
      <c r="K557" s="12" t="s">
        <v>16</v>
      </c>
      <c r="L557" s="12" t="s">
        <v>87</v>
      </c>
      <c r="M557" s="11" t="s">
        <v>88</v>
      </c>
    </row>
    <row r="558" customFormat="false" ht="28.35" hidden="false" customHeight="false" outlineLevel="0" collapsed="false">
      <c r="A558" s="11" t="s">
        <v>1153</v>
      </c>
      <c r="B558" s="12" t="s">
        <v>52</v>
      </c>
      <c r="C558" s="12" t="s">
        <v>51</v>
      </c>
      <c r="D558" s="12" t="n">
        <v>112</v>
      </c>
      <c r="E558" s="12" t="s">
        <v>1142</v>
      </c>
      <c r="F558" s="12" t="s">
        <v>132</v>
      </c>
      <c r="G558" s="12" t="s">
        <v>1154</v>
      </c>
      <c r="H558" s="12" t="s">
        <v>942</v>
      </c>
      <c r="I558" s="12" t="s">
        <v>164</v>
      </c>
      <c r="J558" s="12" t="s">
        <v>165</v>
      </c>
      <c r="K558" s="12" t="s">
        <v>16</v>
      </c>
      <c r="L558" s="12" t="s">
        <v>87</v>
      </c>
      <c r="M558" s="11" t="s">
        <v>88</v>
      </c>
    </row>
    <row r="559" customFormat="false" ht="28.35" hidden="false" customHeight="false" outlineLevel="0" collapsed="false">
      <c r="A559" s="11" t="s">
        <v>1155</v>
      </c>
      <c r="B559" s="12" t="s">
        <v>52</v>
      </c>
      <c r="C559" s="12" t="s">
        <v>51</v>
      </c>
      <c r="D559" s="12" t="n">
        <v>113</v>
      </c>
      <c r="E559" s="12" t="s">
        <v>1142</v>
      </c>
      <c r="F559" s="12" t="s">
        <v>132</v>
      </c>
      <c r="G559" s="12" t="s">
        <v>1156</v>
      </c>
      <c r="H559" s="12" t="s">
        <v>942</v>
      </c>
      <c r="I559" s="12" t="s">
        <v>164</v>
      </c>
      <c r="J559" s="12" t="s">
        <v>165</v>
      </c>
      <c r="K559" s="12" t="s">
        <v>16</v>
      </c>
      <c r="L559" s="12" t="s">
        <v>87</v>
      </c>
      <c r="M559" s="11" t="s">
        <v>88</v>
      </c>
    </row>
    <row r="560" customFormat="false" ht="28.35" hidden="false" customHeight="false" outlineLevel="0" collapsed="false">
      <c r="A560" s="11" t="s">
        <v>1157</v>
      </c>
      <c r="B560" s="12" t="s">
        <v>52</v>
      </c>
      <c r="C560" s="12" t="s">
        <v>51</v>
      </c>
      <c r="D560" s="12" t="n">
        <v>114</v>
      </c>
      <c r="E560" s="12" t="s">
        <v>1142</v>
      </c>
      <c r="F560" s="12" t="s">
        <v>132</v>
      </c>
      <c r="G560" s="12" t="s">
        <v>1158</v>
      </c>
      <c r="H560" s="12" t="s">
        <v>942</v>
      </c>
      <c r="I560" s="12" t="s">
        <v>164</v>
      </c>
      <c r="J560" s="12" t="s">
        <v>165</v>
      </c>
      <c r="K560" s="12" t="s">
        <v>16</v>
      </c>
      <c r="L560" s="12" t="s">
        <v>87</v>
      </c>
      <c r="M560" s="11" t="s">
        <v>88</v>
      </c>
    </row>
    <row r="561" customFormat="false" ht="28.35" hidden="false" customHeight="false" outlineLevel="0" collapsed="false">
      <c r="A561" s="11" t="s">
        <v>1159</v>
      </c>
      <c r="B561" s="12" t="s">
        <v>52</v>
      </c>
      <c r="C561" s="12" t="s">
        <v>51</v>
      </c>
      <c r="D561" s="12" t="n">
        <v>115</v>
      </c>
      <c r="E561" s="12" t="s">
        <v>1142</v>
      </c>
      <c r="F561" s="12" t="s">
        <v>132</v>
      </c>
      <c r="G561" s="12" t="s">
        <v>1160</v>
      </c>
      <c r="H561" s="12" t="s">
        <v>942</v>
      </c>
      <c r="I561" s="12" t="s">
        <v>164</v>
      </c>
      <c r="J561" s="12" t="s">
        <v>165</v>
      </c>
      <c r="K561" s="12" t="s">
        <v>16</v>
      </c>
      <c r="L561" s="12" t="s">
        <v>87</v>
      </c>
      <c r="M561" s="11" t="s">
        <v>88</v>
      </c>
    </row>
    <row r="562" customFormat="false" ht="28.35" hidden="false" customHeight="false" outlineLevel="0" collapsed="false">
      <c r="A562" s="11" t="s">
        <v>1161</v>
      </c>
      <c r="B562" s="12" t="s">
        <v>52</v>
      </c>
      <c r="C562" s="12" t="s">
        <v>51</v>
      </c>
      <c r="D562" s="12" t="n">
        <v>116</v>
      </c>
      <c r="E562" s="12" t="s">
        <v>1142</v>
      </c>
      <c r="F562" s="12" t="s">
        <v>132</v>
      </c>
      <c r="G562" s="12" t="s">
        <v>1162</v>
      </c>
      <c r="H562" s="12" t="s">
        <v>942</v>
      </c>
      <c r="I562" s="12" t="s">
        <v>164</v>
      </c>
      <c r="J562" s="12" t="s">
        <v>165</v>
      </c>
      <c r="K562" s="12" t="s">
        <v>16</v>
      </c>
      <c r="L562" s="12" t="s">
        <v>87</v>
      </c>
      <c r="M562" s="11" t="s">
        <v>88</v>
      </c>
    </row>
    <row r="563" customFormat="false" ht="28.35" hidden="false" customHeight="false" outlineLevel="0" collapsed="false">
      <c r="A563" s="11" t="s">
        <v>1163</v>
      </c>
      <c r="B563" s="12" t="s">
        <v>52</v>
      </c>
      <c r="C563" s="12" t="s">
        <v>51</v>
      </c>
      <c r="D563" s="12" t="n">
        <v>117</v>
      </c>
      <c r="E563" s="12" t="s">
        <v>1142</v>
      </c>
      <c r="F563" s="12" t="s">
        <v>132</v>
      </c>
      <c r="G563" s="12" t="s">
        <v>1164</v>
      </c>
      <c r="H563" s="12" t="s">
        <v>942</v>
      </c>
      <c r="I563" s="12" t="s">
        <v>164</v>
      </c>
      <c r="J563" s="12" t="s">
        <v>165</v>
      </c>
      <c r="K563" s="12" t="s">
        <v>16</v>
      </c>
      <c r="L563" s="12" t="s">
        <v>87</v>
      </c>
      <c r="M563" s="11" t="s">
        <v>88</v>
      </c>
    </row>
    <row r="564" customFormat="false" ht="28.35" hidden="false" customHeight="false" outlineLevel="0" collapsed="false">
      <c r="A564" s="11" t="s">
        <v>1165</v>
      </c>
      <c r="B564" s="12" t="s">
        <v>52</v>
      </c>
      <c r="C564" s="12" t="s">
        <v>51</v>
      </c>
      <c r="D564" s="12" t="n">
        <v>118</v>
      </c>
      <c r="E564" s="12" t="s">
        <v>1142</v>
      </c>
      <c r="F564" s="12" t="s">
        <v>132</v>
      </c>
      <c r="G564" s="12" t="s">
        <v>1166</v>
      </c>
      <c r="H564" s="12" t="s">
        <v>942</v>
      </c>
      <c r="I564" s="12" t="s">
        <v>164</v>
      </c>
      <c r="J564" s="12" t="s">
        <v>165</v>
      </c>
      <c r="K564" s="12" t="s">
        <v>16</v>
      </c>
      <c r="L564" s="12" t="s">
        <v>87</v>
      </c>
      <c r="M564" s="11" t="s">
        <v>88</v>
      </c>
    </row>
    <row r="565" customFormat="false" ht="28.35" hidden="false" customHeight="false" outlineLevel="0" collapsed="false">
      <c r="A565" s="11" t="s">
        <v>1167</v>
      </c>
      <c r="B565" s="12" t="s">
        <v>52</v>
      </c>
      <c r="C565" s="12" t="s">
        <v>51</v>
      </c>
      <c r="D565" s="12" t="n">
        <v>119</v>
      </c>
      <c r="E565" s="12" t="s">
        <v>1142</v>
      </c>
      <c r="F565" s="12" t="s">
        <v>132</v>
      </c>
      <c r="G565" s="12" t="s">
        <v>1168</v>
      </c>
      <c r="H565" s="12" t="s">
        <v>942</v>
      </c>
      <c r="I565" s="12" t="s">
        <v>164</v>
      </c>
      <c r="J565" s="12" t="s">
        <v>165</v>
      </c>
      <c r="K565" s="12" t="s">
        <v>16</v>
      </c>
      <c r="L565" s="12" t="s">
        <v>87</v>
      </c>
      <c r="M565" s="11" t="s">
        <v>88</v>
      </c>
    </row>
    <row r="566" customFormat="false" ht="28.35" hidden="false" customHeight="false" outlineLevel="0" collapsed="false">
      <c r="A566" s="11" t="s">
        <v>1169</v>
      </c>
      <c r="B566" s="12" t="s">
        <v>52</v>
      </c>
      <c r="C566" s="12" t="s">
        <v>51</v>
      </c>
      <c r="D566" s="12" t="n">
        <v>120</v>
      </c>
      <c r="E566" s="12" t="s">
        <v>1142</v>
      </c>
      <c r="F566" s="12" t="s">
        <v>132</v>
      </c>
      <c r="G566" s="12" t="s">
        <v>1170</v>
      </c>
      <c r="H566" s="12" t="s">
        <v>942</v>
      </c>
      <c r="I566" s="12" t="s">
        <v>164</v>
      </c>
      <c r="J566" s="12" t="s">
        <v>165</v>
      </c>
      <c r="K566" s="12" t="s">
        <v>16</v>
      </c>
      <c r="L566" s="12" t="s">
        <v>87</v>
      </c>
      <c r="M566" s="11" t="s">
        <v>88</v>
      </c>
    </row>
    <row r="567" customFormat="false" ht="28.35" hidden="false" customHeight="false" outlineLevel="0" collapsed="false">
      <c r="A567" s="11" t="s">
        <v>1171</v>
      </c>
      <c r="B567" s="12" t="s">
        <v>52</v>
      </c>
      <c r="C567" s="12" t="s">
        <v>51</v>
      </c>
      <c r="D567" s="12" t="n">
        <v>121</v>
      </c>
      <c r="E567" s="12" t="s">
        <v>1142</v>
      </c>
      <c r="F567" s="12" t="s">
        <v>132</v>
      </c>
      <c r="G567" s="12" t="s">
        <v>1172</v>
      </c>
      <c r="H567" s="12" t="s">
        <v>942</v>
      </c>
      <c r="I567" s="12" t="s">
        <v>164</v>
      </c>
      <c r="J567" s="12" t="s">
        <v>165</v>
      </c>
      <c r="K567" s="12" t="s">
        <v>16</v>
      </c>
      <c r="L567" s="12" t="s">
        <v>87</v>
      </c>
      <c r="M567" s="11" t="s">
        <v>88</v>
      </c>
    </row>
    <row r="568" customFormat="false" ht="28.35" hidden="false" customHeight="false" outlineLevel="0" collapsed="false">
      <c r="A568" s="11" t="s">
        <v>1173</v>
      </c>
      <c r="B568" s="12" t="s">
        <v>52</v>
      </c>
      <c r="C568" s="12" t="s">
        <v>51</v>
      </c>
      <c r="D568" s="12" t="n">
        <v>122</v>
      </c>
      <c r="E568" s="12" t="s">
        <v>1142</v>
      </c>
      <c r="F568" s="12" t="s">
        <v>132</v>
      </c>
      <c r="G568" s="12" t="s">
        <v>1174</v>
      </c>
      <c r="H568" s="12" t="s">
        <v>942</v>
      </c>
      <c r="I568" s="12" t="s">
        <v>164</v>
      </c>
      <c r="J568" s="12" t="s">
        <v>165</v>
      </c>
      <c r="K568" s="12" t="s">
        <v>16</v>
      </c>
      <c r="L568" s="12" t="s">
        <v>87</v>
      </c>
      <c r="M568" s="11" t="s">
        <v>88</v>
      </c>
    </row>
    <row r="569" customFormat="false" ht="55.2" hidden="false" customHeight="false" outlineLevel="0" collapsed="false">
      <c r="A569" s="11" t="s">
        <v>1175</v>
      </c>
      <c r="B569" s="12" t="s">
        <v>52</v>
      </c>
      <c r="C569" s="12" t="s">
        <v>51</v>
      </c>
      <c r="D569" s="12" t="n">
        <v>123</v>
      </c>
      <c r="E569" s="12" t="s">
        <v>1142</v>
      </c>
      <c r="F569" s="12" t="s">
        <v>132</v>
      </c>
      <c r="G569" s="12" t="s">
        <v>1176</v>
      </c>
      <c r="H569" s="12" t="s">
        <v>942</v>
      </c>
      <c r="I569" s="12" t="s">
        <v>164</v>
      </c>
      <c r="J569" s="12" t="s">
        <v>165</v>
      </c>
      <c r="K569" s="12" t="s">
        <v>16</v>
      </c>
      <c r="L569" s="12" t="s">
        <v>87</v>
      </c>
      <c r="M569" s="11" t="s">
        <v>88</v>
      </c>
    </row>
    <row r="570" customFormat="false" ht="28.35" hidden="false" customHeight="false" outlineLevel="0" collapsed="false">
      <c r="A570" s="11" t="s">
        <v>1177</v>
      </c>
      <c r="B570" s="12" t="s">
        <v>52</v>
      </c>
      <c r="C570" s="12" t="s">
        <v>51</v>
      </c>
      <c r="D570" s="12" t="n">
        <v>124</v>
      </c>
      <c r="E570" s="12" t="s">
        <v>1142</v>
      </c>
      <c r="F570" s="12" t="s">
        <v>132</v>
      </c>
      <c r="G570" s="12" t="s">
        <v>1178</v>
      </c>
      <c r="H570" s="12" t="s">
        <v>942</v>
      </c>
      <c r="I570" s="12" t="s">
        <v>164</v>
      </c>
      <c r="J570" s="12" t="s">
        <v>165</v>
      </c>
      <c r="K570" s="12" t="s">
        <v>16</v>
      </c>
      <c r="L570" s="12" t="s">
        <v>87</v>
      </c>
      <c r="M570" s="11" t="s">
        <v>88</v>
      </c>
    </row>
    <row r="571" customFormat="false" ht="28.35" hidden="false" customHeight="false" outlineLevel="0" collapsed="false">
      <c r="A571" s="11" t="s">
        <v>1179</v>
      </c>
      <c r="B571" s="12" t="s">
        <v>52</v>
      </c>
      <c r="C571" s="12" t="s">
        <v>51</v>
      </c>
      <c r="D571" s="12" t="n">
        <v>125</v>
      </c>
      <c r="E571" s="12" t="s">
        <v>447</v>
      </c>
      <c r="F571" s="12" t="s">
        <v>82</v>
      </c>
      <c r="G571" s="12" t="s">
        <v>447</v>
      </c>
      <c r="H571" s="12" t="s">
        <v>942</v>
      </c>
      <c r="I571" s="12" t="s">
        <v>158</v>
      </c>
      <c r="J571" s="12" t="s">
        <v>159</v>
      </c>
      <c r="K571" s="12" t="s">
        <v>19</v>
      </c>
      <c r="L571" s="12" t="s">
        <v>87</v>
      </c>
      <c r="M571" s="11" t="s">
        <v>88</v>
      </c>
    </row>
    <row r="572" customFormat="false" ht="28.35" hidden="false" customHeight="false" outlineLevel="0" collapsed="false">
      <c r="A572" s="11" t="s">
        <v>1180</v>
      </c>
      <c r="B572" s="12" t="s">
        <v>52</v>
      </c>
      <c r="C572" s="12" t="s">
        <v>51</v>
      </c>
      <c r="D572" s="12" t="n">
        <v>126</v>
      </c>
      <c r="E572" s="12" t="s">
        <v>449</v>
      </c>
      <c r="F572" s="12" t="s">
        <v>82</v>
      </c>
      <c r="G572" s="12" t="s">
        <v>449</v>
      </c>
      <c r="H572" s="12" t="s">
        <v>942</v>
      </c>
      <c r="I572" s="12" t="s">
        <v>411</v>
      </c>
      <c r="J572" s="12" t="s">
        <v>412</v>
      </c>
      <c r="K572" s="12" t="s">
        <v>413</v>
      </c>
      <c r="L572" s="12" t="s">
        <v>87</v>
      </c>
      <c r="M572" s="11" t="s">
        <v>88</v>
      </c>
    </row>
    <row r="573" customFormat="false" ht="41.75" hidden="false" customHeight="false" outlineLevel="0" collapsed="false">
      <c r="A573" s="11" t="s">
        <v>1181</v>
      </c>
      <c r="B573" s="12" t="s">
        <v>52</v>
      </c>
      <c r="C573" s="12" t="s">
        <v>51</v>
      </c>
      <c r="D573" s="12" t="n">
        <v>127</v>
      </c>
      <c r="E573" s="12" t="s">
        <v>449</v>
      </c>
      <c r="F573" s="12" t="s">
        <v>132</v>
      </c>
      <c r="G573" s="12" t="s">
        <v>1182</v>
      </c>
      <c r="H573" s="12" t="s">
        <v>942</v>
      </c>
      <c r="I573" s="12" t="s">
        <v>411</v>
      </c>
      <c r="J573" s="12" t="s">
        <v>412</v>
      </c>
      <c r="K573" s="12" t="s">
        <v>413</v>
      </c>
      <c r="L573" s="12" t="s">
        <v>87</v>
      </c>
      <c r="M573" s="11" t="s">
        <v>88</v>
      </c>
    </row>
    <row r="574" customFormat="false" ht="28.35" hidden="false" customHeight="false" outlineLevel="0" collapsed="false">
      <c r="A574" s="11" t="s">
        <v>1183</v>
      </c>
      <c r="B574" s="12" t="s">
        <v>52</v>
      </c>
      <c r="C574" s="12" t="s">
        <v>51</v>
      </c>
      <c r="D574" s="12" t="n">
        <v>128</v>
      </c>
      <c r="E574" s="12" t="s">
        <v>449</v>
      </c>
      <c r="F574" s="12" t="s">
        <v>132</v>
      </c>
      <c r="G574" s="12" t="s">
        <v>1184</v>
      </c>
      <c r="H574" s="12" t="s">
        <v>942</v>
      </c>
      <c r="I574" s="12" t="s">
        <v>411</v>
      </c>
      <c r="J574" s="12" t="s">
        <v>412</v>
      </c>
      <c r="K574" s="12" t="s">
        <v>413</v>
      </c>
      <c r="L574" s="12" t="s">
        <v>87</v>
      </c>
      <c r="M574" s="11" t="s">
        <v>88</v>
      </c>
    </row>
    <row r="575" customFormat="false" ht="28.35" hidden="false" customHeight="false" outlineLevel="0" collapsed="false">
      <c r="A575" s="11" t="s">
        <v>1185</v>
      </c>
      <c r="B575" s="12" t="s">
        <v>52</v>
      </c>
      <c r="C575" s="12" t="s">
        <v>51</v>
      </c>
      <c r="D575" s="12" t="n">
        <v>129</v>
      </c>
      <c r="E575" s="12" t="s">
        <v>449</v>
      </c>
      <c r="F575" s="12" t="s">
        <v>132</v>
      </c>
      <c r="G575" s="12" t="s">
        <v>1186</v>
      </c>
      <c r="H575" s="12" t="s">
        <v>942</v>
      </c>
      <c r="I575" s="12" t="s">
        <v>411</v>
      </c>
      <c r="J575" s="12" t="s">
        <v>412</v>
      </c>
      <c r="K575" s="12" t="s">
        <v>413</v>
      </c>
      <c r="L575" s="12" t="s">
        <v>87</v>
      </c>
      <c r="M575" s="11" t="s">
        <v>88</v>
      </c>
    </row>
    <row r="576" customFormat="false" ht="28.35" hidden="false" customHeight="false" outlineLevel="0" collapsed="false">
      <c r="A576" s="11" t="s">
        <v>1187</v>
      </c>
      <c r="B576" s="12" t="s">
        <v>52</v>
      </c>
      <c r="C576" s="12" t="s">
        <v>51</v>
      </c>
      <c r="D576" s="12" t="n">
        <v>130</v>
      </c>
      <c r="E576" s="12" t="s">
        <v>449</v>
      </c>
      <c r="F576" s="12" t="s">
        <v>132</v>
      </c>
      <c r="G576" s="12" t="s">
        <v>455</v>
      </c>
      <c r="H576" s="12" t="s">
        <v>942</v>
      </c>
      <c r="I576" s="12" t="s">
        <v>411</v>
      </c>
      <c r="J576" s="12" t="s">
        <v>412</v>
      </c>
      <c r="K576" s="12" t="s">
        <v>413</v>
      </c>
      <c r="L576" s="12" t="s">
        <v>87</v>
      </c>
      <c r="M576" s="11" t="s">
        <v>88</v>
      </c>
    </row>
    <row r="577" customFormat="false" ht="28.35" hidden="false" customHeight="false" outlineLevel="0" collapsed="false">
      <c r="A577" s="11" t="s">
        <v>1188</v>
      </c>
      <c r="B577" s="12" t="s">
        <v>52</v>
      </c>
      <c r="C577" s="12" t="s">
        <v>51</v>
      </c>
      <c r="D577" s="12" t="n">
        <v>131</v>
      </c>
      <c r="E577" s="12" t="s">
        <v>449</v>
      </c>
      <c r="F577" s="12" t="s">
        <v>132</v>
      </c>
      <c r="G577" s="12" t="s">
        <v>457</v>
      </c>
      <c r="H577" s="12" t="s">
        <v>942</v>
      </c>
      <c r="I577" s="12" t="s">
        <v>411</v>
      </c>
      <c r="J577" s="12" t="s">
        <v>412</v>
      </c>
      <c r="K577" s="12" t="s">
        <v>413</v>
      </c>
      <c r="L577" s="12" t="s">
        <v>87</v>
      </c>
      <c r="M577" s="11" t="s">
        <v>88</v>
      </c>
    </row>
    <row r="578" customFormat="false" ht="28.35" hidden="false" customHeight="false" outlineLevel="0" collapsed="false">
      <c r="A578" s="11" t="s">
        <v>1189</v>
      </c>
      <c r="B578" s="12" t="s">
        <v>52</v>
      </c>
      <c r="C578" s="12" t="s">
        <v>51</v>
      </c>
      <c r="D578" s="12" t="n">
        <v>132</v>
      </c>
      <c r="E578" s="12" t="s">
        <v>449</v>
      </c>
      <c r="F578" s="12" t="s">
        <v>132</v>
      </c>
      <c r="G578" s="12" t="s">
        <v>1190</v>
      </c>
      <c r="H578" s="12" t="s">
        <v>942</v>
      </c>
      <c r="I578" s="12" t="s">
        <v>411</v>
      </c>
      <c r="J578" s="12" t="s">
        <v>412</v>
      </c>
      <c r="K578" s="12" t="s">
        <v>413</v>
      </c>
      <c r="L578" s="12" t="s">
        <v>87</v>
      </c>
      <c r="M578" s="11" t="s">
        <v>88</v>
      </c>
    </row>
    <row r="579" customFormat="false" ht="28.35" hidden="false" customHeight="false" outlineLevel="0" collapsed="false">
      <c r="A579" s="11" t="s">
        <v>1191</v>
      </c>
      <c r="B579" s="12" t="s">
        <v>52</v>
      </c>
      <c r="C579" s="12" t="s">
        <v>51</v>
      </c>
      <c r="D579" s="12" t="n">
        <v>133</v>
      </c>
      <c r="E579" s="12" t="s">
        <v>449</v>
      </c>
      <c r="F579" s="12" t="s">
        <v>98</v>
      </c>
      <c r="G579" s="12" t="s">
        <v>459</v>
      </c>
      <c r="H579" s="12" t="s">
        <v>942</v>
      </c>
      <c r="I579" s="12" t="s">
        <v>411</v>
      </c>
      <c r="J579" s="12" t="s">
        <v>412</v>
      </c>
      <c r="K579" s="12" t="s">
        <v>413</v>
      </c>
      <c r="L579" s="12" t="s">
        <v>87</v>
      </c>
      <c r="M579" s="11" t="s">
        <v>88</v>
      </c>
    </row>
    <row r="580" customFormat="false" ht="28.35" hidden="false" customHeight="false" outlineLevel="0" collapsed="false">
      <c r="A580" s="11" t="s">
        <v>1192</v>
      </c>
      <c r="B580" s="12" t="s">
        <v>52</v>
      </c>
      <c r="C580" s="12" t="s">
        <v>51</v>
      </c>
      <c r="D580" s="12" t="n">
        <v>134</v>
      </c>
      <c r="E580" s="12" t="s">
        <v>449</v>
      </c>
      <c r="F580" s="12" t="s">
        <v>98</v>
      </c>
      <c r="G580" s="12" t="s">
        <v>1193</v>
      </c>
      <c r="H580" s="12" t="s">
        <v>942</v>
      </c>
      <c r="I580" s="12" t="s">
        <v>411</v>
      </c>
      <c r="J580" s="12" t="s">
        <v>412</v>
      </c>
      <c r="K580" s="12" t="s">
        <v>413</v>
      </c>
      <c r="L580" s="12" t="s">
        <v>87</v>
      </c>
      <c r="M580" s="11" t="s">
        <v>88</v>
      </c>
    </row>
    <row r="581" customFormat="false" ht="28.35" hidden="false" customHeight="false" outlineLevel="0" collapsed="false">
      <c r="A581" s="11" t="s">
        <v>1194</v>
      </c>
      <c r="B581" s="12" t="s">
        <v>52</v>
      </c>
      <c r="C581" s="12" t="s">
        <v>51</v>
      </c>
      <c r="D581" s="12" t="n">
        <v>135</v>
      </c>
      <c r="E581" s="12" t="s">
        <v>449</v>
      </c>
      <c r="F581" s="12" t="s">
        <v>98</v>
      </c>
      <c r="G581" s="12" t="s">
        <v>1195</v>
      </c>
      <c r="H581" s="12" t="s">
        <v>942</v>
      </c>
      <c r="I581" s="12" t="s">
        <v>411</v>
      </c>
      <c r="J581" s="12" t="s">
        <v>412</v>
      </c>
      <c r="K581" s="12" t="s">
        <v>413</v>
      </c>
      <c r="L581" s="12" t="s">
        <v>87</v>
      </c>
      <c r="M581" s="11" t="s">
        <v>88</v>
      </c>
    </row>
    <row r="582" customFormat="false" ht="28.35" hidden="false" customHeight="false" outlineLevel="0" collapsed="false">
      <c r="A582" s="11" t="s">
        <v>1196</v>
      </c>
      <c r="B582" s="12" t="s">
        <v>52</v>
      </c>
      <c r="C582" s="12" t="s">
        <v>51</v>
      </c>
      <c r="D582" s="12" t="n">
        <v>136</v>
      </c>
      <c r="E582" s="12" t="s">
        <v>449</v>
      </c>
      <c r="F582" s="12" t="s">
        <v>98</v>
      </c>
      <c r="G582" s="12" t="s">
        <v>1197</v>
      </c>
      <c r="H582" s="12" t="s">
        <v>942</v>
      </c>
      <c r="I582" s="12" t="s">
        <v>411</v>
      </c>
      <c r="J582" s="12" t="s">
        <v>412</v>
      </c>
      <c r="K582" s="12" t="s">
        <v>413</v>
      </c>
      <c r="L582" s="12" t="s">
        <v>87</v>
      </c>
      <c r="M582" s="11" t="s">
        <v>88</v>
      </c>
    </row>
    <row r="583" customFormat="false" ht="28.35" hidden="false" customHeight="false" outlineLevel="0" collapsed="false">
      <c r="A583" s="11" t="s">
        <v>1198</v>
      </c>
      <c r="B583" s="12" t="s">
        <v>52</v>
      </c>
      <c r="C583" s="12" t="s">
        <v>51</v>
      </c>
      <c r="D583" s="12" t="n">
        <v>137</v>
      </c>
      <c r="E583" s="12" t="s">
        <v>449</v>
      </c>
      <c r="F583" s="12" t="s">
        <v>132</v>
      </c>
      <c r="G583" s="12" t="s">
        <v>1199</v>
      </c>
      <c r="H583" s="12" t="s">
        <v>942</v>
      </c>
      <c r="I583" s="12" t="s">
        <v>411</v>
      </c>
      <c r="J583" s="12" t="s">
        <v>412</v>
      </c>
      <c r="K583" s="12" t="s">
        <v>413</v>
      </c>
      <c r="L583" s="12" t="s">
        <v>87</v>
      </c>
      <c r="M583" s="11" t="s">
        <v>88</v>
      </c>
    </row>
    <row r="584" customFormat="false" ht="41.75" hidden="false" customHeight="false" outlineLevel="0" collapsed="false">
      <c r="A584" s="11" t="s">
        <v>1200</v>
      </c>
      <c r="B584" s="12" t="s">
        <v>52</v>
      </c>
      <c r="C584" s="12" t="s">
        <v>51</v>
      </c>
      <c r="D584" s="12" t="n">
        <v>138</v>
      </c>
      <c r="E584" s="12" t="s">
        <v>449</v>
      </c>
      <c r="F584" s="12" t="s">
        <v>132</v>
      </c>
      <c r="G584" s="12" t="s">
        <v>1201</v>
      </c>
      <c r="H584" s="12" t="s">
        <v>942</v>
      </c>
      <c r="I584" s="12" t="s">
        <v>411</v>
      </c>
      <c r="J584" s="12" t="s">
        <v>412</v>
      </c>
      <c r="K584" s="12" t="s">
        <v>413</v>
      </c>
      <c r="L584" s="12" t="s">
        <v>87</v>
      </c>
      <c r="M584" s="11" t="s">
        <v>88</v>
      </c>
    </row>
    <row r="585" customFormat="false" ht="41.75" hidden="false" customHeight="false" outlineLevel="0" collapsed="false">
      <c r="A585" s="11" t="s">
        <v>1202</v>
      </c>
      <c r="B585" s="12" t="s">
        <v>52</v>
      </c>
      <c r="C585" s="12" t="s">
        <v>51</v>
      </c>
      <c r="D585" s="12" t="n">
        <v>139</v>
      </c>
      <c r="E585" s="12" t="s">
        <v>449</v>
      </c>
      <c r="F585" s="12" t="s">
        <v>132</v>
      </c>
      <c r="G585" s="12" t="s">
        <v>1203</v>
      </c>
      <c r="H585" s="12" t="s">
        <v>942</v>
      </c>
      <c r="I585" s="12" t="s">
        <v>411</v>
      </c>
      <c r="J585" s="12" t="s">
        <v>412</v>
      </c>
      <c r="K585" s="12" t="s">
        <v>413</v>
      </c>
      <c r="L585" s="12" t="s">
        <v>87</v>
      </c>
      <c r="M585" s="11" t="s">
        <v>88</v>
      </c>
    </row>
    <row r="586" customFormat="false" ht="41.75" hidden="false" customHeight="false" outlineLevel="0" collapsed="false">
      <c r="A586" s="11" t="s">
        <v>1204</v>
      </c>
      <c r="B586" s="12" t="s">
        <v>52</v>
      </c>
      <c r="C586" s="12" t="s">
        <v>51</v>
      </c>
      <c r="D586" s="12" t="n">
        <v>140</v>
      </c>
      <c r="E586" s="12" t="s">
        <v>449</v>
      </c>
      <c r="F586" s="12" t="s">
        <v>132</v>
      </c>
      <c r="G586" s="12" t="s">
        <v>1205</v>
      </c>
      <c r="H586" s="12" t="s">
        <v>942</v>
      </c>
      <c r="I586" s="12" t="s">
        <v>411</v>
      </c>
      <c r="J586" s="12" t="s">
        <v>412</v>
      </c>
      <c r="K586" s="12" t="s">
        <v>413</v>
      </c>
      <c r="L586" s="12" t="s">
        <v>87</v>
      </c>
      <c r="M586" s="11" t="s">
        <v>88</v>
      </c>
    </row>
    <row r="587" customFormat="false" ht="28.35" hidden="false" customHeight="false" outlineLevel="0" collapsed="false">
      <c r="A587" s="11" t="s">
        <v>1206</v>
      </c>
      <c r="B587" s="12" t="s">
        <v>52</v>
      </c>
      <c r="C587" s="12" t="s">
        <v>51</v>
      </c>
      <c r="D587" s="12" t="n">
        <v>141</v>
      </c>
      <c r="E587" s="12" t="s">
        <v>467</v>
      </c>
      <c r="F587" s="12" t="s">
        <v>82</v>
      </c>
      <c r="G587" s="12" t="s">
        <v>467</v>
      </c>
      <c r="H587" s="12" t="s">
        <v>942</v>
      </c>
      <c r="I587" s="12" t="s">
        <v>158</v>
      </c>
      <c r="J587" s="12" t="s">
        <v>159</v>
      </c>
      <c r="K587" s="12" t="s">
        <v>19</v>
      </c>
      <c r="L587" s="12" t="s">
        <v>87</v>
      </c>
      <c r="M587" s="11" t="s">
        <v>88</v>
      </c>
    </row>
    <row r="588" customFormat="false" ht="41.75" hidden="false" customHeight="false" outlineLevel="0" collapsed="false">
      <c r="A588" s="11" t="s">
        <v>1207</v>
      </c>
      <c r="B588" s="12" t="s">
        <v>52</v>
      </c>
      <c r="C588" s="12" t="s">
        <v>51</v>
      </c>
      <c r="D588" s="12" t="n">
        <v>142</v>
      </c>
      <c r="E588" s="12" t="s">
        <v>467</v>
      </c>
      <c r="F588" s="12" t="s">
        <v>132</v>
      </c>
      <c r="G588" s="12" t="s">
        <v>1208</v>
      </c>
      <c r="H588" s="12" t="s">
        <v>942</v>
      </c>
      <c r="I588" s="12" t="s">
        <v>164</v>
      </c>
      <c r="J588" s="12" t="s">
        <v>165</v>
      </c>
      <c r="K588" s="12" t="s">
        <v>16</v>
      </c>
      <c r="L588" s="12" t="s">
        <v>87</v>
      </c>
      <c r="M588" s="11" t="s">
        <v>88</v>
      </c>
    </row>
    <row r="589" customFormat="false" ht="28.35" hidden="false" customHeight="false" outlineLevel="0" collapsed="false">
      <c r="A589" s="11" t="s">
        <v>1209</v>
      </c>
      <c r="B589" s="12" t="s">
        <v>52</v>
      </c>
      <c r="C589" s="12" t="s">
        <v>51</v>
      </c>
      <c r="D589" s="12" t="n">
        <v>143</v>
      </c>
      <c r="E589" s="12" t="s">
        <v>467</v>
      </c>
      <c r="F589" s="12" t="s">
        <v>132</v>
      </c>
      <c r="G589" s="12" t="s">
        <v>1210</v>
      </c>
      <c r="H589" s="12" t="s">
        <v>942</v>
      </c>
      <c r="I589" s="12" t="s">
        <v>164</v>
      </c>
      <c r="J589" s="12" t="s">
        <v>165</v>
      </c>
      <c r="K589" s="12" t="s">
        <v>16</v>
      </c>
      <c r="L589" s="12" t="s">
        <v>87</v>
      </c>
      <c r="M589" s="11" t="s">
        <v>88</v>
      </c>
    </row>
    <row r="590" customFormat="false" ht="28.35" hidden="false" customHeight="false" outlineLevel="0" collapsed="false">
      <c r="A590" s="11" t="s">
        <v>1211</v>
      </c>
      <c r="B590" s="12" t="s">
        <v>52</v>
      </c>
      <c r="C590" s="12" t="s">
        <v>51</v>
      </c>
      <c r="D590" s="12" t="n">
        <v>144</v>
      </c>
      <c r="E590" s="12" t="s">
        <v>467</v>
      </c>
      <c r="F590" s="12" t="s">
        <v>132</v>
      </c>
      <c r="G590" s="12" t="s">
        <v>1212</v>
      </c>
      <c r="H590" s="12" t="s">
        <v>942</v>
      </c>
      <c r="I590" s="12" t="s">
        <v>164</v>
      </c>
      <c r="J590" s="12" t="s">
        <v>165</v>
      </c>
      <c r="K590" s="12" t="s">
        <v>16</v>
      </c>
      <c r="L590" s="12" t="s">
        <v>87</v>
      </c>
      <c r="M590" s="11" t="s">
        <v>88</v>
      </c>
    </row>
    <row r="591" customFormat="false" ht="28.35" hidden="false" customHeight="false" outlineLevel="0" collapsed="false">
      <c r="A591" s="11" t="s">
        <v>1213</v>
      </c>
      <c r="B591" s="12" t="s">
        <v>52</v>
      </c>
      <c r="C591" s="12" t="s">
        <v>51</v>
      </c>
      <c r="D591" s="12" t="n">
        <v>145</v>
      </c>
      <c r="E591" s="12" t="s">
        <v>467</v>
      </c>
      <c r="F591" s="12" t="s">
        <v>132</v>
      </c>
      <c r="G591" s="12" t="s">
        <v>475</v>
      </c>
      <c r="H591" s="12" t="s">
        <v>942</v>
      </c>
      <c r="I591" s="12" t="s">
        <v>164</v>
      </c>
      <c r="J591" s="12" t="s">
        <v>165</v>
      </c>
      <c r="K591" s="12" t="s">
        <v>16</v>
      </c>
      <c r="L591" s="12" t="s">
        <v>87</v>
      </c>
      <c r="M591" s="11" t="s">
        <v>88</v>
      </c>
    </row>
    <row r="592" customFormat="false" ht="162.65" hidden="false" customHeight="false" outlineLevel="0" collapsed="false">
      <c r="A592" s="11" t="s">
        <v>1214</v>
      </c>
      <c r="B592" s="12" t="s">
        <v>52</v>
      </c>
      <c r="C592" s="12" t="s">
        <v>51</v>
      </c>
      <c r="D592" s="12" t="n">
        <v>146</v>
      </c>
      <c r="E592" s="12" t="s">
        <v>1215</v>
      </c>
      <c r="F592" s="12" t="s">
        <v>82</v>
      </c>
      <c r="G592" s="12" t="s">
        <v>1215</v>
      </c>
      <c r="H592" s="12" t="s">
        <v>942</v>
      </c>
      <c r="I592" s="12" t="s">
        <v>158</v>
      </c>
      <c r="J592" s="12" t="s">
        <v>159</v>
      </c>
      <c r="K592" s="12" t="s">
        <v>19</v>
      </c>
      <c r="L592" s="12" t="s">
        <v>87</v>
      </c>
      <c r="M592" s="11" t="s">
        <v>88</v>
      </c>
    </row>
    <row r="593" customFormat="false" ht="28.35" hidden="false" customHeight="false" outlineLevel="0" collapsed="false">
      <c r="A593" s="11" t="s">
        <v>1216</v>
      </c>
      <c r="B593" s="12" t="s">
        <v>52</v>
      </c>
      <c r="C593" s="12" t="s">
        <v>51</v>
      </c>
      <c r="D593" s="12" t="n">
        <v>147</v>
      </c>
      <c r="E593" s="12" t="s">
        <v>1217</v>
      </c>
      <c r="F593" s="12" t="s">
        <v>82</v>
      </c>
      <c r="G593" s="12" t="s">
        <v>1217</v>
      </c>
      <c r="H593" s="12" t="s">
        <v>942</v>
      </c>
      <c r="I593" s="12" t="s">
        <v>478</v>
      </c>
      <c r="J593" s="12" t="s">
        <v>479</v>
      </c>
      <c r="K593" s="12" t="s">
        <v>28</v>
      </c>
      <c r="L593" s="12" t="s">
        <v>96</v>
      </c>
      <c r="M593" s="11" t="s">
        <v>88</v>
      </c>
    </row>
    <row r="594" customFormat="false" ht="28.35" hidden="false" customHeight="false" outlineLevel="0" collapsed="false">
      <c r="A594" s="11" t="s">
        <v>1218</v>
      </c>
      <c r="B594" s="12" t="s">
        <v>52</v>
      </c>
      <c r="C594" s="12" t="s">
        <v>51</v>
      </c>
      <c r="D594" s="12" t="n">
        <v>148</v>
      </c>
      <c r="E594" s="12" t="s">
        <v>1217</v>
      </c>
      <c r="F594" s="12" t="s">
        <v>132</v>
      </c>
      <c r="G594" s="12" t="s">
        <v>1219</v>
      </c>
      <c r="H594" s="12" t="s">
        <v>942</v>
      </c>
      <c r="I594" s="12" t="s">
        <v>478</v>
      </c>
      <c r="J594" s="12" t="s">
        <v>479</v>
      </c>
      <c r="K594" s="12" t="s">
        <v>28</v>
      </c>
      <c r="L594" s="12" t="s">
        <v>96</v>
      </c>
      <c r="M594" s="11" t="s">
        <v>88</v>
      </c>
    </row>
    <row r="595" customFormat="false" ht="28.35" hidden="false" customHeight="false" outlineLevel="0" collapsed="false">
      <c r="A595" s="11" t="s">
        <v>1220</v>
      </c>
      <c r="B595" s="12" t="s">
        <v>52</v>
      </c>
      <c r="C595" s="12" t="s">
        <v>51</v>
      </c>
      <c r="D595" s="12" t="n">
        <v>149</v>
      </c>
      <c r="E595" s="12" t="s">
        <v>1217</v>
      </c>
      <c r="F595" s="12" t="s">
        <v>132</v>
      </c>
      <c r="G595" s="12" t="s">
        <v>1221</v>
      </c>
      <c r="H595" s="12" t="s">
        <v>942</v>
      </c>
      <c r="I595" s="12" t="s">
        <v>478</v>
      </c>
      <c r="J595" s="12" t="s">
        <v>479</v>
      </c>
      <c r="K595" s="12" t="s">
        <v>28</v>
      </c>
      <c r="L595" s="12" t="s">
        <v>96</v>
      </c>
      <c r="M595" s="11" t="s">
        <v>88</v>
      </c>
    </row>
    <row r="596" customFormat="false" ht="28.35" hidden="false" customHeight="false" outlineLevel="0" collapsed="false">
      <c r="A596" s="11" t="s">
        <v>1222</v>
      </c>
      <c r="B596" s="12" t="s">
        <v>52</v>
      </c>
      <c r="C596" s="12" t="s">
        <v>51</v>
      </c>
      <c r="D596" s="12" t="n">
        <v>150</v>
      </c>
      <c r="E596" s="12" t="s">
        <v>1217</v>
      </c>
      <c r="F596" s="12" t="s">
        <v>132</v>
      </c>
      <c r="G596" s="12" t="s">
        <v>1223</v>
      </c>
      <c r="H596" s="12" t="s">
        <v>942</v>
      </c>
      <c r="I596" s="12" t="s">
        <v>478</v>
      </c>
      <c r="J596" s="12" t="s">
        <v>479</v>
      </c>
      <c r="K596" s="12" t="s">
        <v>28</v>
      </c>
      <c r="L596" s="12" t="s">
        <v>96</v>
      </c>
      <c r="M596" s="11" t="s">
        <v>88</v>
      </c>
    </row>
    <row r="597" customFormat="false" ht="41.75" hidden="false" customHeight="false" outlineLevel="0" collapsed="false">
      <c r="A597" s="11" t="s">
        <v>1224</v>
      </c>
      <c r="B597" s="12" t="s">
        <v>52</v>
      </c>
      <c r="C597" s="12" t="s">
        <v>51</v>
      </c>
      <c r="D597" s="12" t="n">
        <v>151</v>
      </c>
      <c r="E597" s="12" t="s">
        <v>1217</v>
      </c>
      <c r="F597" s="12" t="s">
        <v>132</v>
      </c>
      <c r="G597" s="12" t="s">
        <v>1225</v>
      </c>
      <c r="H597" s="12" t="s">
        <v>942</v>
      </c>
      <c r="I597" s="12" t="s">
        <v>478</v>
      </c>
      <c r="J597" s="12" t="s">
        <v>479</v>
      </c>
      <c r="K597" s="12" t="s">
        <v>28</v>
      </c>
      <c r="L597" s="12" t="s">
        <v>96</v>
      </c>
      <c r="M597" s="11" t="s">
        <v>88</v>
      </c>
    </row>
    <row r="598" customFormat="false" ht="28.35" hidden="false" customHeight="false" outlineLevel="0" collapsed="false">
      <c r="A598" s="11" t="s">
        <v>1226</v>
      </c>
      <c r="B598" s="12" t="s">
        <v>52</v>
      </c>
      <c r="C598" s="12" t="s">
        <v>51</v>
      </c>
      <c r="D598" s="12" t="n">
        <v>152</v>
      </c>
      <c r="E598" s="12" t="s">
        <v>1217</v>
      </c>
      <c r="F598" s="12" t="s">
        <v>132</v>
      </c>
      <c r="G598" s="12" t="s">
        <v>1227</v>
      </c>
      <c r="H598" s="12" t="s">
        <v>942</v>
      </c>
      <c r="I598" s="12" t="s">
        <v>478</v>
      </c>
      <c r="J598" s="12" t="s">
        <v>479</v>
      </c>
      <c r="K598" s="12" t="s">
        <v>28</v>
      </c>
      <c r="L598" s="12" t="s">
        <v>96</v>
      </c>
      <c r="M598" s="11" t="s">
        <v>88</v>
      </c>
    </row>
    <row r="599" customFormat="false" ht="28.35" hidden="false" customHeight="false" outlineLevel="0" collapsed="false">
      <c r="A599" s="11" t="s">
        <v>1228</v>
      </c>
      <c r="B599" s="12" t="s">
        <v>52</v>
      </c>
      <c r="C599" s="12" t="s">
        <v>51</v>
      </c>
      <c r="D599" s="12" t="n">
        <v>153</v>
      </c>
      <c r="E599" s="12" t="s">
        <v>1217</v>
      </c>
      <c r="F599" s="12" t="s">
        <v>98</v>
      </c>
      <c r="G599" s="12" t="s">
        <v>491</v>
      </c>
      <c r="H599" s="12" t="s">
        <v>942</v>
      </c>
      <c r="I599" s="12" t="s">
        <v>478</v>
      </c>
      <c r="J599" s="12" t="s">
        <v>479</v>
      </c>
      <c r="K599" s="12" t="s">
        <v>28</v>
      </c>
      <c r="L599" s="12" t="s">
        <v>96</v>
      </c>
      <c r="M599" s="11" t="s">
        <v>88</v>
      </c>
    </row>
    <row r="600" customFormat="false" ht="28.35" hidden="false" customHeight="false" outlineLevel="0" collapsed="false">
      <c r="A600" s="11" t="s">
        <v>1229</v>
      </c>
      <c r="B600" s="12" t="s">
        <v>52</v>
      </c>
      <c r="C600" s="12" t="s">
        <v>51</v>
      </c>
      <c r="D600" s="12" t="n">
        <v>154</v>
      </c>
      <c r="E600" s="12" t="s">
        <v>1217</v>
      </c>
      <c r="F600" s="12" t="s">
        <v>132</v>
      </c>
      <c r="G600" s="12" t="s">
        <v>1230</v>
      </c>
      <c r="H600" s="12" t="s">
        <v>942</v>
      </c>
      <c r="I600" s="12" t="s">
        <v>478</v>
      </c>
      <c r="J600" s="12" t="s">
        <v>479</v>
      </c>
      <c r="K600" s="12" t="s">
        <v>28</v>
      </c>
      <c r="L600" s="12" t="s">
        <v>96</v>
      </c>
      <c r="M600" s="11" t="s">
        <v>88</v>
      </c>
    </row>
    <row r="601" customFormat="false" ht="28.35" hidden="false" customHeight="false" outlineLevel="0" collapsed="false">
      <c r="A601" s="11" t="s">
        <v>1231</v>
      </c>
      <c r="B601" s="12" t="s">
        <v>52</v>
      </c>
      <c r="C601" s="12" t="s">
        <v>51</v>
      </c>
      <c r="D601" s="12" t="n">
        <v>155</v>
      </c>
      <c r="E601" s="12" t="s">
        <v>1217</v>
      </c>
      <c r="F601" s="12" t="s">
        <v>132</v>
      </c>
      <c r="G601" s="12" t="s">
        <v>1232</v>
      </c>
      <c r="H601" s="12" t="s">
        <v>942</v>
      </c>
      <c r="I601" s="12" t="s">
        <v>478</v>
      </c>
      <c r="J601" s="12" t="s">
        <v>479</v>
      </c>
      <c r="K601" s="12" t="s">
        <v>28</v>
      </c>
      <c r="L601" s="12" t="s">
        <v>96</v>
      </c>
      <c r="M601" s="11" t="s">
        <v>88</v>
      </c>
    </row>
    <row r="602" customFormat="false" ht="28.35" hidden="false" customHeight="false" outlineLevel="0" collapsed="false">
      <c r="A602" s="11" t="s">
        <v>1233</v>
      </c>
      <c r="B602" s="12" t="s">
        <v>52</v>
      </c>
      <c r="C602" s="12" t="s">
        <v>51</v>
      </c>
      <c r="D602" s="12" t="n">
        <v>156</v>
      </c>
      <c r="E602" s="12" t="s">
        <v>1217</v>
      </c>
      <c r="F602" s="12" t="s">
        <v>132</v>
      </c>
      <c r="G602" s="12" t="s">
        <v>1234</v>
      </c>
      <c r="H602" s="12" t="s">
        <v>942</v>
      </c>
      <c r="I602" s="12" t="s">
        <v>478</v>
      </c>
      <c r="J602" s="12" t="s">
        <v>479</v>
      </c>
      <c r="K602" s="12" t="s">
        <v>28</v>
      </c>
      <c r="L602" s="12" t="s">
        <v>96</v>
      </c>
      <c r="M602" s="11" t="s">
        <v>88</v>
      </c>
    </row>
    <row r="603" customFormat="false" ht="28.35" hidden="false" customHeight="false" outlineLevel="0" collapsed="false">
      <c r="A603" s="11" t="s">
        <v>1235</v>
      </c>
      <c r="B603" s="12" t="s">
        <v>52</v>
      </c>
      <c r="C603" s="12" t="s">
        <v>51</v>
      </c>
      <c r="D603" s="12" t="n">
        <v>157</v>
      </c>
      <c r="E603" s="12" t="s">
        <v>1217</v>
      </c>
      <c r="F603" s="12" t="s">
        <v>132</v>
      </c>
      <c r="G603" s="12" t="s">
        <v>1236</v>
      </c>
      <c r="H603" s="12" t="s">
        <v>942</v>
      </c>
      <c r="I603" s="12" t="s">
        <v>478</v>
      </c>
      <c r="J603" s="12" t="s">
        <v>479</v>
      </c>
      <c r="K603" s="12" t="s">
        <v>28</v>
      </c>
      <c r="L603" s="12" t="s">
        <v>96</v>
      </c>
      <c r="M603" s="11" t="s">
        <v>88</v>
      </c>
    </row>
    <row r="604" customFormat="false" ht="28.35" hidden="false" customHeight="false" outlineLevel="0" collapsed="false">
      <c r="A604" s="11" t="s">
        <v>1237</v>
      </c>
      <c r="B604" s="12" t="s">
        <v>52</v>
      </c>
      <c r="C604" s="12" t="s">
        <v>51</v>
      </c>
      <c r="D604" s="12" t="n">
        <v>158</v>
      </c>
      <c r="E604" s="12" t="s">
        <v>1217</v>
      </c>
      <c r="F604" s="12" t="s">
        <v>132</v>
      </c>
      <c r="G604" s="12" t="s">
        <v>1238</v>
      </c>
      <c r="H604" s="12" t="s">
        <v>942</v>
      </c>
      <c r="I604" s="12" t="s">
        <v>478</v>
      </c>
      <c r="J604" s="12" t="s">
        <v>479</v>
      </c>
      <c r="K604" s="12" t="s">
        <v>28</v>
      </c>
      <c r="L604" s="12" t="s">
        <v>96</v>
      </c>
      <c r="M604" s="11" t="s">
        <v>88</v>
      </c>
    </row>
    <row r="605" customFormat="false" ht="28.35" hidden="false" customHeight="false" outlineLevel="0" collapsed="false">
      <c r="A605" s="11" t="s">
        <v>1239</v>
      </c>
      <c r="B605" s="12" t="s">
        <v>52</v>
      </c>
      <c r="C605" s="12" t="s">
        <v>51</v>
      </c>
      <c r="D605" s="12" t="n">
        <v>159</v>
      </c>
      <c r="E605" s="12" t="s">
        <v>1217</v>
      </c>
      <c r="F605" s="12" t="s">
        <v>132</v>
      </c>
      <c r="G605" s="12" t="s">
        <v>1240</v>
      </c>
      <c r="H605" s="12" t="s">
        <v>942</v>
      </c>
      <c r="I605" s="12" t="s">
        <v>478</v>
      </c>
      <c r="J605" s="12" t="s">
        <v>479</v>
      </c>
      <c r="K605" s="12" t="s">
        <v>28</v>
      </c>
      <c r="L605" s="12" t="s">
        <v>96</v>
      </c>
      <c r="M605" s="11" t="s">
        <v>88</v>
      </c>
    </row>
    <row r="606" customFormat="false" ht="28.35" hidden="false" customHeight="false" outlineLevel="0" collapsed="false">
      <c r="A606" s="11" t="s">
        <v>1241</v>
      </c>
      <c r="B606" s="12" t="s">
        <v>52</v>
      </c>
      <c r="C606" s="12" t="s">
        <v>51</v>
      </c>
      <c r="D606" s="12" t="n">
        <v>160</v>
      </c>
      <c r="E606" s="12" t="s">
        <v>1217</v>
      </c>
      <c r="F606" s="12" t="s">
        <v>132</v>
      </c>
      <c r="G606" s="12" t="s">
        <v>1242</v>
      </c>
      <c r="H606" s="12" t="s">
        <v>942</v>
      </c>
      <c r="I606" s="12" t="s">
        <v>478</v>
      </c>
      <c r="J606" s="12" t="s">
        <v>479</v>
      </c>
      <c r="K606" s="12" t="s">
        <v>28</v>
      </c>
      <c r="L606" s="12" t="s">
        <v>96</v>
      </c>
      <c r="M606" s="11" t="s">
        <v>88</v>
      </c>
    </row>
    <row r="607" customFormat="false" ht="28.35" hidden="false" customHeight="false" outlineLevel="0" collapsed="false">
      <c r="A607" s="11" t="s">
        <v>1243</v>
      </c>
      <c r="B607" s="12" t="s">
        <v>52</v>
      </c>
      <c r="C607" s="12" t="s">
        <v>51</v>
      </c>
      <c r="D607" s="12" t="n">
        <v>161</v>
      </c>
      <c r="E607" s="12" t="s">
        <v>1217</v>
      </c>
      <c r="F607" s="12" t="s">
        <v>132</v>
      </c>
      <c r="G607" s="12" t="s">
        <v>1244</v>
      </c>
      <c r="H607" s="12" t="s">
        <v>942</v>
      </c>
      <c r="I607" s="12" t="s">
        <v>478</v>
      </c>
      <c r="J607" s="12" t="s">
        <v>479</v>
      </c>
      <c r="K607" s="12" t="s">
        <v>28</v>
      </c>
      <c r="L607" s="12" t="s">
        <v>96</v>
      </c>
      <c r="M607" s="11" t="s">
        <v>88</v>
      </c>
    </row>
    <row r="608" customFormat="false" ht="28.35" hidden="false" customHeight="false" outlineLevel="0" collapsed="false">
      <c r="A608" s="11" t="s">
        <v>1245</v>
      </c>
      <c r="B608" s="12" t="s">
        <v>52</v>
      </c>
      <c r="C608" s="12" t="s">
        <v>51</v>
      </c>
      <c r="D608" s="12" t="n">
        <v>162</v>
      </c>
      <c r="E608" s="12" t="s">
        <v>1217</v>
      </c>
      <c r="F608" s="12" t="s">
        <v>132</v>
      </c>
      <c r="G608" s="12" t="s">
        <v>1246</v>
      </c>
      <c r="H608" s="12" t="s">
        <v>942</v>
      </c>
      <c r="I608" s="12" t="s">
        <v>478</v>
      </c>
      <c r="J608" s="12" t="s">
        <v>479</v>
      </c>
      <c r="K608" s="12" t="s">
        <v>28</v>
      </c>
      <c r="L608" s="12" t="s">
        <v>96</v>
      </c>
      <c r="M608" s="11" t="s">
        <v>88</v>
      </c>
    </row>
    <row r="609" customFormat="false" ht="28.35" hidden="false" customHeight="false" outlineLevel="0" collapsed="false">
      <c r="A609" s="11" t="s">
        <v>1247</v>
      </c>
      <c r="B609" s="12" t="s">
        <v>52</v>
      </c>
      <c r="C609" s="12" t="s">
        <v>51</v>
      </c>
      <c r="D609" s="12" t="n">
        <v>163</v>
      </c>
      <c r="E609" s="12" t="s">
        <v>1217</v>
      </c>
      <c r="F609" s="12" t="s">
        <v>132</v>
      </c>
      <c r="G609" s="12" t="s">
        <v>1248</v>
      </c>
      <c r="H609" s="12" t="s">
        <v>942</v>
      </c>
      <c r="I609" s="12" t="s">
        <v>478</v>
      </c>
      <c r="J609" s="12" t="s">
        <v>479</v>
      </c>
      <c r="K609" s="12" t="s">
        <v>28</v>
      </c>
      <c r="L609" s="12" t="s">
        <v>96</v>
      </c>
      <c r="M609" s="11" t="s">
        <v>88</v>
      </c>
    </row>
    <row r="610" customFormat="false" ht="28.35" hidden="false" customHeight="false" outlineLevel="0" collapsed="false">
      <c r="A610" s="11" t="s">
        <v>1249</v>
      </c>
      <c r="B610" s="12" t="s">
        <v>52</v>
      </c>
      <c r="C610" s="12" t="s">
        <v>51</v>
      </c>
      <c r="D610" s="12" t="n">
        <v>164</v>
      </c>
      <c r="E610" s="12" t="s">
        <v>1217</v>
      </c>
      <c r="F610" s="12" t="s">
        <v>132</v>
      </c>
      <c r="G610" s="12" t="s">
        <v>1250</v>
      </c>
      <c r="H610" s="12" t="s">
        <v>942</v>
      </c>
      <c r="I610" s="12" t="s">
        <v>478</v>
      </c>
      <c r="J610" s="12" t="s">
        <v>479</v>
      </c>
      <c r="K610" s="12" t="s">
        <v>28</v>
      </c>
      <c r="L610" s="12" t="s">
        <v>96</v>
      </c>
      <c r="M610" s="11" t="s">
        <v>88</v>
      </c>
    </row>
    <row r="611" customFormat="false" ht="28.35" hidden="false" customHeight="false" outlineLevel="0" collapsed="false">
      <c r="A611" s="11" t="s">
        <v>1251</v>
      </c>
      <c r="B611" s="12" t="s">
        <v>52</v>
      </c>
      <c r="C611" s="12" t="s">
        <v>51</v>
      </c>
      <c r="D611" s="12" t="n">
        <v>165</v>
      </c>
      <c r="E611" s="12" t="s">
        <v>1217</v>
      </c>
      <c r="F611" s="12" t="s">
        <v>132</v>
      </c>
      <c r="G611" s="12" t="s">
        <v>1252</v>
      </c>
      <c r="H611" s="12" t="s">
        <v>942</v>
      </c>
      <c r="I611" s="12" t="s">
        <v>478</v>
      </c>
      <c r="J611" s="12" t="s">
        <v>479</v>
      </c>
      <c r="K611" s="12" t="s">
        <v>28</v>
      </c>
      <c r="L611" s="12" t="s">
        <v>96</v>
      </c>
      <c r="M611" s="11" t="s">
        <v>88</v>
      </c>
    </row>
    <row r="612" customFormat="false" ht="28.35" hidden="false" customHeight="false" outlineLevel="0" collapsed="false">
      <c r="A612" s="11" t="s">
        <v>1253</v>
      </c>
      <c r="B612" s="12" t="s">
        <v>54</v>
      </c>
      <c r="C612" s="12" t="s">
        <v>53</v>
      </c>
      <c r="D612" s="12" t="n">
        <v>1</v>
      </c>
      <c r="E612" s="12" t="s">
        <v>1254</v>
      </c>
      <c r="F612" s="12" t="s">
        <v>82</v>
      </c>
      <c r="G612" s="12" t="s">
        <v>1254</v>
      </c>
      <c r="H612" s="12" t="s">
        <v>1255</v>
      </c>
      <c r="I612" s="12" t="s">
        <v>158</v>
      </c>
      <c r="J612" s="12" t="s">
        <v>159</v>
      </c>
      <c r="K612" s="12" t="s">
        <v>19</v>
      </c>
      <c r="L612" s="12" t="s">
        <v>87</v>
      </c>
      <c r="M612" s="11" t="s">
        <v>88</v>
      </c>
    </row>
    <row r="613" customFormat="false" ht="28.35" hidden="false" customHeight="false" outlineLevel="0" collapsed="false">
      <c r="A613" s="11" t="s">
        <v>1256</v>
      </c>
      <c r="B613" s="12" t="s">
        <v>54</v>
      </c>
      <c r="C613" s="12" t="s">
        <v>53</v>
      </c>
      <c r="D613" s="12" t="n">
        <v>2</v>
      </c>
      <c r="E613" s="12" t="s">
        <v>1257</v>
      </c>
      <c r="F613" s="12" t="s">
        <v>82</v>
      </c>
      <c r="G613" s="12" t="s">
        <v>1257</v>
      </c>
      <c r="H613" s="12" t="s">
        <v>1255</v>
      </c>
      <c r="I613" s="12" t="s">
        <v>158</v>
      </c>
      <c r="J613" s="12" t="s">
        <v>159</v>
      </c>
      <c r="K613" s="12" t="s">
        <v>19</v>
      </c>
      <c r="L613" s="12" t="s">
        <v>87</v>
      </c>
      <c r="M613" s="11" t="s">
        <v>88</v>
      </c>
    </row>
    <row r="614" customFormat="false" ht="28.35" hidden="false" customHeight="false" outlineLevel="0" collapsed="false">
      <c r="A614" s="11" t="s">
        <v>1258</v>
      </c>
      <c r="B614" s="12" t="s">
        <v>54</v>
      </c>
      <c r="C614" s="12" t="s">
        <v>53</v>
      </c>
      <c r="D614" s="12" t="n">
        <v>3</v>
      </c>
      <c r="E614" s="12" t="s">
        <v>92</v>
      </c>
      <c r="F614" s="12" t="s">
        <v>82</v>
      </c>
      <c r="G614" s="12" t="s">
        <v>92</v>
      </c>
      <c r="H614" s="12" t="s">
        <v>1255</v>
      </c>
      <c r="I614" s="12" t="s">
        <v>93</v>
      </c>
      <c r="J614" s="12" t="s">
        <v>94</v>
      </c>
      <c r="K614" s="12" t="s">
        <v>95</v>
      </c>
      <c r="L614" s="12" t="s">
        <v>96</v>
      </c>
      <c r="M614" s="11" t="s">
        <v>88</v>
      </c>
    </row>
    <row r="615" customFormat="false" ht="28.35" hidden="false" customHeight="false" outlineLevel="0" collapsed="false">
      <c r="A615" s="11" t="s">
        <v>1259</v>
      </c>
      <c r="B615" s="12" t="s">
        <v>54</v>
      </c>
      <c r="C615" s="12" t="s">
        <v>53</v>
      </c>
      <c r="D615" s="12" t="n">
        <v>4</v>
      </c>
      <c r="E615" s="12" t="s">
        <v>92</v>
      </c>
      <c r="F615" s="12" t="s">
        <v>98</v>
      </c>
      <c r="G615" s="12" t="s">
        <v>99</v>
      </c>
      <c r="H615" s="12" t="s">
        <v>1255</v>
      </c>
      <c r="I615" s="12" t="s">
        <v>93</v>
      </c>
      <c r="J615" s="12" t="s">
        <v>94</v>
      </c>
      <c r="K615" s="12" t="s">
        <v>95</v>
      </c>
      <c r="L615" s="12" t="s">
        <v>96</v>
      </c>
      <c r="M615" s="11" t="s">
        <v>88</v>
      </c>
    </row>
    <row r="616" customFormat="false" ht="28.35" hidden="false" customHeight="false" outlineLevel="0" collapsed="false">
      <c r="A616" s="11" t="s">
        <v>1260</v>
      </c>
      <c r="B616" s="12" t="s">
        <v>54</v>
      </c>
      <c r="C616" s="12" t="s">
        <v>53</v>
      </c>
      <c r="D616" s="12" t="n">
        <v>5</v>
      </c>
      <c r="E616" s="12" t="s">
        <v>92</v>
      </c>
      <c r="F616" s="12" t="s">
        <v>98</v>
      </c>
      <c r="G616" s="12" t="s">
        <v>737</v>
      </c>
      <c r="H616" s="12" t="s">
        <v>1255</v>
      </c>
      <c r="I616" s="12" t="s">
        <v>93</v>
      </c>
      <c r="J616" s="12" t="s">
        <v>94</v>
      </c>
      <c r="K616" s="12" t="s">
        <v>95</v>
      </c>
      <c r="L616" s="12" t="s">
        <v>96</v>
      </c>
      <c r="M616" s="11" t="s">
        <v>88</v>
      </c>
    </row>
    <row r="617" customFormat="false" ht="28.35" hidden="false" customHeight="false" outlineLevel="0" collapsed="false">
      <c r="A617" s="11" t="s">
        <v>1261</v>
      </c>
      <c r="B617" s="12" t="s">
        <v>54</v>
      </c>
      <c r="C617" s="12" t="s">
        <v>53</v>
      </c>
      <c r="D617" s="12" t="n">
        <v>6</v>
      </c>
      <c r="E617" s="12" t="s">
        <v>92</v>
      </c>
      <c r="F617" s="12" t="s">
        <v>98</v>
      </c>
      <c r="G617" s="12" t="s">
        <v>950</v>
      </c>
      <c r="H617" s="12" t="s">
        <v>1255</v>
      </c>
      <c r="I617" s="12" t="s">
        <v>93</v>
      </c>
      <c r="J617" s="12" t="s">
        <v>94</v>
      </c>
      <c r="K617" s="12" t="s">
        <v>95</v>
      </c>
      <c r="L617" s="12" t="s">
        <v>96</v>
      </c>
      <c r="M617" s="11" t="s">
        <v>88</v>
      </c>
    </row>
    <row r="618" customFormat="false" ht="28.35" hidden="false" customHeight="false" outlineLevel="0" collapsed="false">
      <c r="A618" s="11" t="s">
        <v>1262</v>
      </c>
      <c r="B618" s="12" t="s">
        <v>54</v>
      </c>
      <c r="C618" s="12" t="s">
        <v>53</v>
      </c>
      <c r="D618" s="12" t="n">
        <v>7</v>
      </c>
      <c r="E618" s="12" t="s">
        <v>92</v>
      </c>
      <c r="F618" s="12" t="s">
        <v>98</v>
      </c>
      <c r="G618" s="12" t="s">
        <v>1263</v>
      </c>
      <c r="H618" s="12" t="s">
        <v>1255</v>
      </c>
      <c r="I618" s="12" t="s">
        <v>93</v>
      </c>
      <c r="J618" s="12" t="s">
        <v>94</v>
      </c>
      <c r="K618" s="12" t="s">
        <v>95</v>
      </c>
      <c r="L618" s="12" t="s">
        <v>96</v>
      </c>
      <c r="M618" s="11" t="s">
        <v>88</v>
      </c>
    </row>
    <row r="619" customFormat="false" ht="28.35" hidden="false" customHeight="false" outlineLevel="0" collapsed="false">
      <c r="A619" s="11" t="s">
        <v>1264</v>
      </c>
      <c r="B619" s="12" t="s">
        <v>54</v>
      </c>
      <c r="C619" s="12" t="s">
        <v>53</v>
      </c>
      <c r="D619" s="12" t="n">
        <v>8</v>
      </c>
      <c r="E619" s="12" t="s">
        <v>92</v>
      </c>
      <c r="F619" s="12" t="s">
        <v>98</v>
      </c>
      <c r="G619" s="12" t="s">
        <v>1265</v>
      </c>
      <c r="H619" s="12" t="s">
        <v>1255</v>
      </c>
      <c r="I619" s="12" t="s">
        <v>93</v>
      </c>
      <c r="J619" s="12" t="s">
        <v>94</v>
      </c>
      <c r="K619" s="12" t="s">
        <v>95</v>
      </c>
      <c r="L619" s="12" t="s">
        <v>96</v>
      </c>
      <c r="M619" s="11" t="s">
        <v>88</v>
      </c>
    </row>
    <row r="620" customFormat="false" ht="28.35" hidden="false" customHeight="false" outlineLevel="0" collapsed="false">
      <c r="A620" s="11" t="s">
        <v>1266</v>
      </c>
      <c r="B620" s="12" t="s">
        <v>54</v>
      </c>
      <c r="C620" s="12" t="s">
        <v>53</v>
      </c>
      <c r="D620" s="12" t="n">
        <v>9</v>
      </c>
      <c r="E620" s="12" t="s">
        <v>92</v>
      </c>
      <c r="F620" s="12" t="s">
        <v>98</v>
      </c>
      <c r="G620" s="12" t="s">
        <v>272</v>
      </c>
      <c r="H620" s="12" t="s">
        <v>1255</v>
      </c>
      <c r="I620" s="12" t="s">
        <v>93</v>
      </c>
      <c r="J620" s="12" t="s">
        <v>94</v>
      </c>
      <c r="K620" s="12" t="s">
        <v>95</v>
      </c>
      <c r="L620" s="12" t="s">
        <v>96</v>
      </c>
      <c r="M620" s="11" t="s">
        <v>88</v>
      </c>
    </row>
    <row r="621" customFormat="false" ht="55.2" hidden="false" customHeight="false" outlineLevel="0" collapsed="false">
      <c r="A621" s="11" t="s">
        <v>1267</v>
      </c>
      <c r="B621" s="12" t="s">
        <v>54</v>
      </c>
      <c r="C621" s="12" t="s">
        <v>53</v>
      </c>
      <c r="D621" s="12" t="n">
        <v>10</v>
      </c>
      <c r="E621" s="12" t="s">
        <v>92</v>
      </c>
      <c r="F621" s="12" t="s">
        <v>98</v>
      </c>
      <c r="G621" s="12" t="s">
        <v>1268</v>
      </c>
      <c r="H621" s="12" t="s">
        <v>1255</v>
      </c>
      <c r="I621" s="12" t="s">
        <v>93</v>
      </c>
      <c r="J621" s="12" t="s">
        <v>94</v>
      </c>
      <c r="K621" s="12" t="s">
        <v>95</v>
      </c>
      <c r="L621" s="12" t="s">
        <v>96</v>
      </c>
      <c r="M621" s="11" t="s">
        <v>88</v>
      </c>
    </row>
    <row r="622" customFormat="false" ht="28.35" hidden="false" customHeight="false" outlineLevel="0" collapsed="false">
      <c r="A622" s="11" t="s">
        <v>1269</v>
      </c>
      <c r="B622" s="12" t="s">
        <v>54</v>
      </c>
      <c r="C622" s="12" t="s">
        <v>53</v>
      </c>
      <c r="D622" s="12" t="n">
        <v>11</v>
      </c>
      <c r="E622" s="12" t="s">
        <v>959</v>
      </c>
      <c r="F622" s="12" t="s">
        <v>82</v>
      </c>
      <c r="G622" s="12" t="s">
        <v>959</v>
      </c>
      <c r="H622" s="12" t="s">
        <v>1255</v>
      </c>
      <c r="I622" s="12" t="s">
        <v>93</v>
      </c>
      <c r="J622" s="12" t="s">
        <v>94</v>
      </c>
      <c r="K622" s="12" t="s">
        <v>95</v>
      </c>
      <c r="L622" s="12" t="s">
        <v>96</v>
      </c>
      <c r="M622" s="11" t="s">
        <v>88</v>
      </c>
    </row>
    <row r="623" customFormat="false" ht="28.35" hidden="false" customHeight="false" outlineLevel="0" collapsed="false">
      <c r="A623" s="11" t="s">
        <v>1270</v>
      </c>
      <c r="B623" s="12" t="s">
        <v>54</v>
      </c>
      <c r="C623" s="12" t="s">
        <v>53</v>
      </c>
      <c r="D623" s="12" t="n">
        <v>12</v>
      </c>
      <c r="E623" s="12" t="s">
        <v>959</v>
      </c>
      <c r="F623" s="12" t="s">
        <v>98</v>
      </c>
      <c r="G623" s="12" t="s">
        <v>115</v>
      </c>
      <c r="H623" s="12" t="s">
        <v>1255</v>
      </c>
      <c r="I623" s="12" t="s">
        <v>93</v>
      </c>
      <c r="J623" s="12" t="s">
        <v>94</v>
      </c>
      <c r="K623" s="12" t="s">
        <v>95</v>
      </c>
      <c r="L623" s="12" t="s">
        <v>96</v>
      </c>
      <c r="M623" s="11" t="s">
        <v>88</v>
      </c>
    </row>
    <row r="624" customFormat="false" ht="28.35" hidden="false" customHeight="false" outlineLevel="0" collapsed="false">
      <c r="A624" s="11" t="s">
        <v>1271</v>
      </c>
      <c r="B624" s="12" t="s">
        <v>54</v>
      </c>
      <c r="C624" s="12" t="s">
        <v>53</v>
      </c>
      <c r="D624" s="12" t="n">
        <v>13</v>
      </c>
      <c r="E624" s="12" t="s">
        <v>959</v>
      </c>
      <c r="F624" s="12" t="s">
        <v>98</v>
      </c>
      <c r="G624" s="12" t="s">
        <v>117</v>
      </c>
      <c r="H624" s="12" t="s">
        <v>1255</v>
      </c>
      <c r="I624" s="12" t="s">
        <v>93</v>
      </c>
      <c r="J624" s="12" t="s">
        <v>94</v>
      </c>
      <c r="K624" s="12" t="s">
        <v>95</v>
      </c>
      <c r="L624" s="12" t="s">
        <v>96</v>
      </c>
      <c r="M624" s="11" t="s">
        <v>88</v>
      </c>
    </row>
    <row r="625" customFormat="false" ht="28.35" hidden="false" customHeight="false" outlineLevel="0" collapsed="false">
      <c r="A625" s="11" t="s">
        <v>1272</v>
      </c>
      <c r="B625" s="12" t="s">
        <v>54</v>
      </c>
      <c r="C625" s="12" t="s">
        <v>53</v>
      </c>
      <c r="D625" s="12" t="n">
        <v>14</v>
      </c>
      <c r="E625" s="12" t="s">
        <v>959</v>
      </c>
      <c r="F625" s="12" t="s">
        <v>98</v>
      </c>
      <c r="G625" s="12" t="s">
        <v>279</v>
      </c>
      <c r="H625" s="12" t="s">
        <v>1255</v>
      </c>
      <c r="I625" s="12" t="s">
        <v>93</v>
      </c>
      <c r="J625" s="12" t="s">
        <v>94</v>
      </c>
      <c r="K625" s="12" t="s">
        <v>95</v>
      </c>
      <c r="L625" s="12" t="s">
        <v>96</v>
      </c>
      <c r="M625" s="11" t="s">
        <v>88</v>
      </c>
    </row>
    <row r="626" customFormat="false" ht="28.35" hidden="false" customHeight="false" outlineLevel="0" collapsed="false">
      <c r="A626" s="11" t="s">
        <v>1273</v>
      </c>
      <c r="B626" s="12" t="s">
        <v>54</v>
      </c>
      <c r="C626" s="12" t="s">
        <v>53</v>
      </c>
      <c r="D626" s="12" t="n">
        <v>15</v>
      </c>
      <c r="E626" s="12" t="s">
        <v>959</v>
      </c>
      <c r="F626" s="12" t="s">
        <v>98</v>
      </c>
      <c r="G626" s="12" t="s">
        <v>1274</v>
      </c>
      <c r="H626" s="12" t="s">
        <v>1255</v>
      </c>
      <c r="I626" s="12" t="s">
        <v>93</v>
      </c>
      <c r="J626" s="12" t="s">
        <v>94</v>
      </c>
      <c r="K626" s="12" t="s">
        <v>95</v>
      </c>
      <c r="L626" s="12" t="s">
        <v>96</v>
      </c>
      <c r="M626" s="11" t="s">
        <v>88</v>
      </c>
    </row>
    <row r="627" customFormat="false" ht="28.35" hidden="false" customHeight="false" outlineLevel="0" collapsed="false">
      <c r="A627" s="11" t="s">
        <v>1275</v>
      </c>
      <c r="B627" s="12" t="s">
        <v>54</v>
      </c>
      <c r="C627" s="12" t="s">
        <v>53</v>
      </c>
      <c r="D627" s="12" t="n">
        <v>16</v>
      </c>
      <c r="E627" s="12" t="s">
        <v>959</v>
      </c>
      <c r="F627" s="12" t="s">
        <v>98</v>
      </c>
      <c r="G627" s="12" t="s">
        <v>1276</v>
      </c>
      <c r="H627" s="12" t="s">
        <v>1255</v>
      </c>
      <c r="I627" s="12" t="s">
        <v>93</v>
      </c>
      <c r="J627" s="12" t="s">
        <v>94</v>
      </c>
      <c r="K627" s="12" t="s">
        <v>95</v>
      </c>
      <c r="L627" s="12" t="s">
        <v>96</v>
      </c>
      <c r="M627" s="11" t="s">
        <v>88</v>
      </c>
    </row>
    <row r="628" customFormat="false" ht="28.35" hidden="false" customHeight="false" outlineLevel="0" collapsed="false">
      <c r="A628" s="11" t="s">
        <v>1277</v>
      </c>
      <c r="B628" s="12" t="s">
        <v>54</v>
      </c>
      <c r="C628" s="12" t="s">
        <v>53</v>
      </c>
      <c r="D628" s="12" t="n">
        <v>17</v>
      </c>
      <c r="E628" s="12" t="s">
        <v>959</v>
      </c>
      <c r="F628" s="12" t="s">
        <v>98</v>
      </c>
      <c r="G628" s="12" t="s">
        <v>1278</v>
      </c>
      <c r="H628" s="12" t="s">
        <v>1255</v>
      </c>
      <c r="I628" s="12" t="s">
        <v>93</v>
      </c>
      <c r="J628" s="12" t="s">
        <v>94</v>
      </c>
      <c r="K628" s="12" t="s">
        <v>95</v>
      </c>
      <c r="L628" s="12" t="s">
        <v>96</v>
      </c>
      <c r="M628" s="11" t="s">
        <v>88</v>
      </c>
    </row>
    <row r="629" customFormat="false" ht="28.35" hidden="false" customHeight="false" outlineLevel="0" collapsed="false">
      <c r="A629" s="11" t="s">
        <v>1279</v>
      </c>
      <c r="B629" s="12" t="s">
        <v>54</v>
      </c>
      <c r="C629" s="12" t="s">
        <v>53</v>
      </c>
      <c r="D629" s="12" t="n">
        <v>18</v>
      </c>
      <c r="E629" s="12" t="s">
        <v>959</v>
      </c>
      <c r="F629" s="12" t="s">
        <v>98</v>
      </c>
      <c r="G629" s="12" t="s">
        <v>1280</v>
      </c>
      <c r="H629" s="12" t="s">
        <v>1255</v>
      </c>
      <c r="I629" s="12" t="s">
        <v>93</v>
      </c>
      <c r="J629" s="12" t="s">
        <v>94</v>
      </c>
      <c r="K629" s="12" t="s">
        <v>95</v>
      </c>
      <c r="L629" s="12" t="s">
        <v>96</v>
      </c>
      <c r="M629" s="11" t="s">
        <v>88</v>
      </c>
    </row>
    <row r="630" customFormat="false" ht="28.35" hidden="false" customHeight="false" outlineLevel="0" collapsed="false">
      <c r="A630" s="11" t="s">
        <v>1281</v>
      </c>
      <c r="B630" s="12" t="s">
        <v>54</v>
      </c>
      <c r="C630" s="12" t="s">
        <v>53</v>
      </c>
      <c r="D630" s="12" t="n">
        <v>19</v>
      </c>
      <c r="E630" s="12" t="s">
        <v>959</v>
      </c>
      <c r="F630" s="12" t="s">
        <v>98</v>
      </c>
      <c r="G630" s="12" t="s">
        <v>539</v>
      </c>
      <c r="H630" s="12" t="s">
        <v>1255</v>
      </c>
      <c r="I630" s="12" t="s">
        <v>93</v>
      </c>
      <c r="J630" s="12" t="s">
        <v>94</v>
      </c>
      <c r="K630" s="12" t="s">
        <v>95</v>
      </c>
      <c r="L630" s="12" t="s">
        <v>96</v>
      </c>
      <c r="M630" s="11" t="s">
        <v>88</v>
      </c>
    </row>
    <row r="631" customFormat="false" ht="28.35" hidden="false" customHeight="false" outlineLevel="0" collapsed="false">
      <c r="A631" s="11" t="s">
        <v>1282</v>
      </c>
      <c r="B631" s="12" t="s">
        <v>54</v>
      </c>
      <c r="C631" s="12" t="s">
        <v>53</v>
      </c>
      <c r="D631" s="12" t="n">
        <v>20</v>
      </c>
      <c r="E631" s="12" t="s">
        <v>959</v>
      </c>
      <c r="F631" s="12" t="s">
        <v>98</v>
      </c>
      <c r="G631" s="12" t="s">
        <v>759</v>
      </c>
      <c r="H631" s="12" t="s">
        <v>1255</v>
      </c>
      <c r="I631" s="12" t="s">
        <v>93</v>
      </c>
      <c r="J631" s="12" t="s">
        <v>94</v>
      </c>
      <c r="K631" s="12" t="s">
        <v>95</v>
      </c>
      <c r="L631" s="12" t="s">
        <v>96</v>
      </c>
      <c r="M631" s="11" t="s">
        <v>88</v>
      </c>
    </row>
    <row r="632" customFormat="false" ht="28.35" hidden="false" customHeight="false" outlineLevel="0" collapsed="false">
      <c r="A632" s="11" t="s">
        <v>1283</v>
      </c>
      <c r="B632" s="12" t="s">
        <v>54</v>
      </c>
      <c r="C632" s="12" t="s">
        <v>53</v>
      </c>
      <c r="D632" s="12" t="n">
        <v>21</v>
      </c>
      <c r="E632" s="12" t="s">
        <v>959</v>
      </c>
      <c r="F632" s="12" t="s">
        <v>98</v>
      </c>
      <c r="G632" s="12" t="s">
        <v>1284</v>
      </c>
      <c r="H632" s="12" t="s">
        <v>1255</v>
      </c>
      <c r="I632" s="12" t="s">
        <v>93</v>
      </c>
      <c r="J632" s="12" t="s">
        <v>94</v>
      </c>
      <c r="K632" s="12" t="s">
        <v>95</v>
      </c>
      <c r="L632" s="12" t="s">
        <v>96</v>
      </c>
      <c r="M632" s="11" t="s">
        <v>88</v>
      </c>
    </row>
    <row r="633" customFormat="false" ht="28.35" hidden="false" customHeight="false" outlineLevel="0" collapsed="false">
      <c r="A633" s="11" t="s">
        <v>1285</v>
      </c>
      <c r="B633" s="12" t="s">
        <v>54</v>
      </c>
      <c r="C633" s="12" t="s">
        <v>53</v>
      </c>
      <c r="D633" s="12" t="n">
        <v>22</v>
      </c>
      <c r="E633" s="12" t="s">
        <v>959</v>
      </c>
      <c r="F633" s="12" t="s">
        <v>132</v>
      </c>
      <c r="G633" s="12" t="s">
        <v>1286</v>
      </c>
      <c r="H633" s="12" t="s">
        <v>1255</v>
      </c>
      <c r="I633" s="12" t="s">
        <v>93</v>
      </c>
      <c r="J633" s="12" t="s">
        <v>94</v>
      </c>
      <c r="K633" s="12" t="s">
        <v>95</v>
      </c>
      <c r="L633" s="12" t="s">
        <v>96</v>
      </c>
      <c r="M633" s="11" t="s">
        <v>88</v>
      </c>
    </row>
    <row r="634" customFormat="false" ht="28.35" hidden="false" customHeight="false" outlineLevel="0" collapsed="false">
      <c r="A634" s="11" t="s">
        <v>1287</v>
      </c>
      <c r="B634" s="12" t="s">
        <v>54</v>
      </c>
      <c r="C634" s="12" t="s">
        <v>53</v>
      </c>
      <c r="D634" s="12" t="n">
        <v>23</v>
      </c>
      <c r="E634" s="12" t="s">
        <v>959</v>
      </c>
      <c r="F634" s="12" t="s">
        <v>132</v>
      </c>
      <c r="G634" s="12" t="s">
        <v>1288</v>
      </c>
      <c r="H634" s="12" t="s">
        <v>1255</v>
      </c>
      <c r="I634" s="12" t="s">
        <v>93</v>
      </c>
      <c r="J634" s="12" t="s">
        <v>94</v>
      </c>
      <c r="K634" s="12" t="s">
        <v>95</v>
      </c>
      <c r="L634" s="12" t="s">
        <v>96</v>
      </c>
      <c r="M634" s="11" t="s">
        <v>88</v>
      </c>
    </row>
    <row r="635" customFormat="false" ht="28.35" hidden="false" customHeight="false" outlineLevel="0" collapsed="false">
      <c r="A635" s="11" t="s">
        <v>1289</v>
      </c>
      <c r="B635" s="12" t="s">
        <v>54</v>
      </c>
      <c r="C635" s="12" t="s">
        <v>53</v>
      </c>
      <c r="D635" s="12" t="n">
        <v>24</v>
      </c>
      <c r="E635" s="12" t="s">
        <v>959</v>
      </c>
      <c r="F635" s="12" t="s">
        <v>132</v>
      </c>
      <c r="G635" s="12" t="s">
        <v>1290</v>
      </c>
      <c r="H635" s="12" t="s">
        <v>1255</v>
      </c>
      <c r="I635" s="12" t="s">
        <v>93</v>
      </c>
      <c r="J635" s="12" t="s">
        <v>94</v>
      </c>
      <c r="K635" s="12" t="s">
        <v>95</v>
      </c>
      <c r="L635" s="12" t="s">
        <v>96</v>
      </c>
      <c r="M635" s="11" t="s">
        <v>88</v>
      </c>
    </row>
    <row r="636" customFormat="false" ht="28.35" hidden="false" customHeight="false" outlineLevel="0" collapsed="false">
      <c r="A636" s="11" t="s">
        <v>1291</v>
      </c>
      <c r="B636" s="12" t="s">
        <v>54</v>
      </c>
      <c r="C636" s="12" t="s">
        <v>53</v>
      </c>
      <c r="D636" s="12" t="n">
        <v>25</v>
      </c>
      <c r="E636" s="12" t="s">
        <v>959</v>
      </c>
      <c r="F636" s="12" t="s">
        <v>132</v>
      </c>
      <c r="G636" s="12" t="s">
        <v>1292</v>
      </c>
      <c r="H636" s="12" t="s">
        <v>1255</v>
      </c>
      <c r="I636" s="12" t="s">
        <v>93</v>
      </c>
      <c r="J636" s="12" t="s">
        <v>94</v>
      </c>
      <c r="K636" s="12" t="s">
        <v>95</v>
      </c>
      <c r="L636" s="12" t="s">
        <v>96</v>
      </c>
      <c r="M636" s="11" t="s">
        <v>88</v>
      </c>
    </row>
    <row r="637" customFormat="false" ht="28.35" hidden="false" customHeight="false" outlineLevel="0" collapsed="false">
      <c r="A637" s="11" t="s">
        <v>1293</v>
      </c>
      <c r="B637" s="12" t="s">
        <v>54</v>
      </c>
      <c r="C637" s="12" t="s">
        <v>53</v>
      </c>
      <c r="D637" s="12" t="n">
        <v>26</v>
      </c>
      <c r="E637" s="12" t="s">
        <v>959</v>
      </c>
      <c r="F637" s="12" t="s">
        <v>132</v>
      </c>
      <c r="G637" s="12" t="s">
        <v>301</v>
      </c>
      <c r="H637" s="12" t="s">
        <v>1255</v>
      </c>
      <c r="I637" s="12" t="s">
        <v>93</v>
      </c>
      <c r="J637" s="12" t="s">
        <v>94</v>
      </c>
      <c r="K637" s="12" t="s">
        <v>95</v>
      </c>
      <c r="L637" s="12" t="s">
        <v>96</v>
      </c>
      <c r="M637" s="11" t="s">
        <v>88</v>
      </c>
    </row>
    <row r="638" customFormat="false" ht="28.35" hidden="false" customHeight="false" outlineLevel="0" collapsed="false">
      <c r="A638" s="11" t="s">
        <v>1294</v>
      </c>
      <c r="B638" s="12" t="s">
        <v>54</v>
      </c>
      <c r="C638" s="12" t="s">
        <v>53</v>
      </c>
      <c r="D638" s="12" t="n">
        <v>27</v>
      </c>
      <c r="E638" s="12" t="s">
        <v>959</v>
      </c>
      <c r="F638" s="12" t="s">
        <v>132</v>
      </c>
      <c r="G638" s="12" t="s">
        <v>1295</v>
      </c>
      <c r="H638" s="12" t="s">
        <v>1255</v>
      </c>
      <c r="I638" s="12" t="s">
        <v>93</v>
      </c>
      <c r="J638" s="12" t="s">
        <v>94</v>
      </c>
      <c r="K638" s="12" t="s">
        <v>95</v>
      </c>
      <c r="L638" s="12" t="s">
        <v>96</v>
      </c>
      <c r="M638" s="11" t="s">
        <v>88</v>
      </c>
    </row>
    <row r="639" customFormat="false" ht="28.35" hidden="false" customHeight="false" outlineLevel="0" collapsed="false">
      <c r="A639" s="11" t="s">
        <v>1296</v>
      </c>
      <c r="B639" s="12" t="s">
        <v>54</v>
      </c>
      <c r="C639" s="12" t="s">
        <v>53</v>
      </c>
      <c r="D639" s="12" t="n">
        <v>28</v>
      </c>
      <c r="E639" s="12" t="s">
        <v>959</v>
      </c>
      <c r="F639" s="12" t="s">
        <v>132</v>
      </c>
      <c r="G639" s="12" t="s">
        <v>1297</v>
      </c>
      <c r="H639" s="12" t="s">
        <v>1255</v>
      </c>
      <c r="I639" s="12" t="s">
        <v>93</v>
      </c>
      <c r="J639" s="12" t="s">
        <v>94</v>
      </c>
      <c r="K639" s="12" t="s">
        <v>95</v>
      </c>
      <c r="L639" s="12" t="s">
        <v>96</v>
      </c>
      <c r="M639" s="11" t="s">
        <v>88</v>
      </c>
    </row>
    <row r="640" customFormat="false" ht="28.35" hidden="false" customHeight="false" outlineLevel="0" collapsed="false">
      <c r="A640" s="11" t="s">
        <v>1298</v>
      </c>
      <c r="B640" s="12" t="s">
        <v>54</v>
      </c>
      <c r="C640" s="12" t="s">
        <v>53</v>
      </c>
      <c r="D640" s="12" t="n">
        <v>29</v>
      </c>
      <c r="E640" s="12" t="s">
        <v>959</v>
      </c>
      <c r="F640" s="12" t="s">
        <v>132</v>
      </c>
      <c r="G640" s="12" t="s">
        <v>1299</v>
      </c>
      <c r="H640" s="12" t="s">
        <v>1255</v>
      </c>
      <c r="I640" s="12" t="s">
        <v>93</v>
      </c>
      <c r="J640" s="12" t="s">
        <v>94</v>
      </c>
      <c r="K640" s="12" t="s">
        <v>95</v>
      </c>
      <c r="L640" s="12" t="s">
        <v>96</v>
      </c>
      <c r="M640" s="11" t="s">
        <v>88</v>
      </c>
    </row>
    <row r="641" customFormat="false" ht="28.35" hidden="false" customHeight="false" outlineLevel="0" collapsed="false">
      <c r="A641" s="11" t="s">
        <v>1300</v>
      </c>
      <c r="B641" s="12" t="s">
        <v>54</v>
      </c>
      <c r="C641" s="12" t="s">
        <v>53</v>
      </c>
      <c r="D641" s="12" t="n">
        <v>30</v>
      </c>
      <c r="E641" s="12" t="s">
        <v>959</v>
      </c>
      <c r="F641" s="12" t="s">
        <v>132</v>
      </c>
      <c r="G641" s="12" t="s">
        <v>1301</v>
      </c>
      <c r="H641" s="12" t="s">
        <v>1255</v>
      </c>
      <c r="I641" s="12" t="s">
        <v>93</v>
      </c>
      <c r="J641" s="12" t="s">
        <v>94</v>
      </c>
      <c r="K641" s="12" t="s">
        <v>95</v>
      </c>
      <c r="L641" s="12" t="s">
        <v>96</v>
      </c>
      <c r="M641" s="11" t="s">
        <v>88</v>
      </c>
    </row>
    <row r="642" customFormat="false" ht="28.35" hidden="false" customHeight="false" outlineLevel="0" collapsed="false">
      <c r="A642" s="11" t="s">
        <v>1302</v>
      </c>
      <c r="B642" s="12" t="s">
        <v>54</v>
      </c>
      <c r="C642" s="12" t="s">
        <v>53</v>
      </c>
      <c r="D642" s="12" t="n">
        <v>31</v>
      </c>
      <c r="E642" s="12" t="s">
        <v>959</v>
      </c>
      <c r="F642" s="12" t="s">
        <v>132</v>
      </c>
      <c r="G642" s="12" t="s">
        <v>1303</v>
      </c>
      <c r="H642" s="12" t="s">
        <v>1255</v>
      </c>
      <c r="I642" s="12" t="s">
        <v>93</v>
      </c>
      <c r="J642" s="12" t="s">
        <v>94</v>
      </c>
      <c r="K642" s="12" t="s">
        <v>95</v>
      </c>
      <c r="L642" s="12" t="s">
        <v>96</v>
      </c>
      <c r="M642" s="11" t="s">
        <v>88</v>
      </c>
    </row>
    <row r="643" customFormat="false" ht="28.35" hidden="false" customHeight="false" outlineLevel="0" collapsed="false">
      <c r="A643" s="11" t="s">
        <v>1304</v>
      </c>
      <c r="B643" s="12" t="s">
        <v>54</v>
      </c>
      <c r="C643" s="12" t="s">
        <v>53</v>
      </c>
      <c r="D643" s="12" t="n">
        <v>32</v>
      </c>
      <c r="E643" s="12" t="s">
        <v>959</v>
      </c>
      <c r="F643" s="12" t="s">
        <v>132</v>
      </c>
      <c r="G643" s="12" t="s">
        <v>1305</v>
      </c>
      <c r="H643" s="12" t="s">
        <v>1255</v>
      </c>
      <c r="I643" s="12" t="s">
        <v>93</v>
      </c>
      <c r="J643" s="12" t="s">
        <v>94</v>
      </c>
      <c r="K643" s="12" t="s">
        <v>95</v>
      </c>
      <c r="L643" s="12" t="s">
        <v>96</v>
      </c>
      <c r="M643" s="11" t="s">
        <v>88</v>
      </c>
    </row>
    <row r="644" customFormat="false" ht="28.35" hidden="false" customHeight="false" outlineLevel="0" collapsed="false">
      <c r="A644" s="11" t="s">
        <v>1306</v>
      </c>
      <c r="B644" s="12" t="s">
        <v>54</v>
      </c>
      <c r="C644" s="12" t="s">
        <v>53</v>
      </c>
      <c r="D644" s="12" t="n">
        <v>33</v>
      </c>
      <c r="E644" s="12" t="s">
        <v>959</v>
      </c>
      <c r="F644" s="12" t="s">
        <v>132</v>
      </c>
      <c r="G644" s="12" t="s">
        <v>558</v>
      </c>
      <c r="H644" s="12" t="s">
        <v>1255</v>
      </c>
      <c r="I644" s="12" t="s">
        <v>93</v>
      </c>
      <c r="J644" s="12" t="s">
        <v>94</v>
      </c>
      <c r="K644" s="12" t="s">
        <v>95</v>
      </c>
      <c r="L644" s="12" t="s">
        <v>96</v>
      </c>
      <c r="M644" s="11" t="s">
        <v>88</v>
      </c>
    </row>
    <row r="645" customFormat="false" ht="28.35" hidden="false" customHeight="false" outlineLevel="0" collapsed="false">
      <c r="A645" s="11" t="s">
        <v>1307</v>
      </c>
      <c r="B645" s="12" t="s">
        <v>54</v>
      </c>
      <c r="C645" s="12" t="s">
        <v>53</v>
      </c>
      <c r="D645" s="12" t="n">
        <v>34</v>
      </c>
      <c r="E645" s="12" t="s">
        <v>959</v>
      </c>
      <c r="F645" s="12" t="s">
        <v>132</v>
      </c>
      <c r="G645" s="12" t="s">
        <v>311</v>
      </c>
      <c r="H645" s="12" t="s">
        <v>1255</v>
      </c>
      <c r="I645" s="12" t="s">
        <v>93</v>
      </c>
      <c r="J645" s="12" t="s">
        <v>94</v>
      </c>
      <c r="K645" s="12" t="s">
        <v>95</v>
      </c>
      <c r="L645" s="12" t="s">
        <v>96</v>
      </c>
      <c r="M645" s="11" t="s">
        <v>88</v>
      </c>
    </row>
    <row r="646" customFormat="false" ht="28.35" hidden="false" customHeight="false" outlineLevel="0" collapsed="false">
      <c r="A646" s="11" t="s">
        <v>1308</v>
      </c>
      <c r="B646" s="12" t="s">
        <v>54</v>
      </c>
      <c r="C646" s="12" t="s">
        <v>53</v>
      </c>
      <c r="D646" s="12" t="n">
        <v>35</v>
      </c>
      <c r="E646" s="12" t="s">
        <v>959</v>
      </c>
      <c r="F646" s="12" t="s">
        <v>132</v>
      </c>
      <c r="G646" s="12" t="s">
        <v>1309</v>
      </c>
      <c r="H646" s="12" t="s">
        <v>1255</v>
      </c>
      <c r="I646" s="12" t="s">
        <v>93</v>
      </c>
      <c r="J646" s="12" t="s">
        <v>94</v>
      </c>
      <c r="K646" s="12" t="s">
        <v>95</v>
      </c>
      <c r="L646" s="12" t="s">
        <v>96</v>
      </c>
      <c r="M646" s="11" t="s">
        <v>88</v>
      </c>
    </row>
    <row r="647" customFormat="false" ht="28.35" hidden="false" customHeight="false" outlineLevel="0" collapsed="false">
      <c r="A647" s="11" t="s">
        <v>1310</v>
      </c>
      <c r="B647" s="12" t="s">
        <v>54</v>
      </c>
      <c r="C647" s="12" t="s">
        <v>53</v>
      </c>
      <c r="D647" s="12" t="n">
        <v>36</v>
      </c>
      <c r="E647" s="12" t="s">
        <v>959</v>
      </c>
      <c r="F647" s="12" t="s">
        <v>132</v>
      </c>
      <c r="G647" s="12" t="s">
        <v>1311</v>
      </c>
      <c r="H647" s="12" t="s">
        <v>1255</v>
      </c>
      <c r="I647" s="12" t="s">
        <v>93</v>
      </c>
      <c r="J647" s="12" t="s">
        <v>94</v>
      </c>
      <c r="K647" s="12" t="s">
        <v>95</v>
      </c>
      <c r="L647" s="12" t="s">
        <v>96</v>
      </c>
      <c r="M647" s="11" t="s">
        <v>88</v>
      </c>
    </row>
    <row r="648" customFormat="false" ht="28.35" hidden="false" customHeight="false" outlineLevel="0" collapsed="false">
      <c r="A648" s="11" t="s">
        <v>1312</v>
      </c>
      <c r="B648" s="12" t="s">
        <v>54</v>
      </c>
      <c r="C648" s="12" t="s">
        <v>53</v>
      </c>
      <c r="D648" s="12" t="n">
        <v>37</v>
      </c>
      <c r="E648" s="12" t="s">
        <v>959</v>
      </c>
      <c r="F648" s="12" t="s">
        <v>132</v>
      </c>
      <c r="G648" s="12" t="s">
        <v>1313</v>
      </c>
      <c r="H648" s="12" t="s">
        <v>1255</v>
      </c>
      <c r="I648" s="12" t="s">
        <v>93</v>
      </c>
      <c r="J648" s="12" t="s">
        <v>94</v>
      </c>
      <c r="K648" s="12" t="s">
        <v>95</v>
      </c>
      <c r="L648" s="12" t="s">
        <v>96</v>
      </c>
      <c r="M648" s="11" t="s">
        <v>88</v>
      </c>
    </row>
    <row r="649" customFormat="false" ht="28.35" hidden="false" customHeight="false" outlineLevel="0" collapsed="false">
      <c r="A649" s="11" t="s">
        <v>1314</v>
      </c>
      <c r="B649" s="12" t="s">
        <v>54</v>
      </c>
      <c r="C649" s="12" t="s">
        <v>53</v>
      </c>
      <c r="D649" s="12" t="n">
        <v>38</v>
      </c>
      <c r="E649" s="12" t="s">
        <v>959</v>
      </c>
      <c r="F649" s="12" t="s">
        <v>132</v>
      </c>
      <c r="G649" s="12" t="s">
        <v>1315</v>
      </c>
      <c r="H649" s="12" t="s">
        <v>1255</v>
      </c>
      <c r="I649" s="12" t="s">
        <v>93</v>
      </c>
      <c r="J649" s="12" t="s">
        <v>94</v>
      </c>
      <c r="K649" s="12" t="s">
        <v>95</v>
      </c>
      <c r="L649" s="12" t="s">
        <v>96</v>
      </c>
      <c r="M649" s="11" t="s">
        <v>88</v>
      </c>
    </row>
    <row r="650" customFormat="false" ht="28.35" hidden="false" customHeight="false" outlineLevel="0" collapsed="false">
      <c r="A650" s="11" t="s">
        <v>1316</v>
      </c>
      <c r="B650" s="12" t="s">
        <v>54</v>
      </c>
      <c r="C650" s="12" t="s">
        <v>53</v>
      </c>
      <c r="D650" s="12" t="n">
        <v>39</v>
      </c>
      <c r="E650" s="12" t="s">
        <v>959</v>
      </c>
      <c r="F650" s="12" t="s">
        <v>132</v>
      </c>
      <c r="G650" s="12" t="s">
        <v>1299</v>
      </c>
      <c r="H650" s="12" t="s">
        <v>1255</v>
      </c>
      <c r="I650" s="12" t="s">
        <v>93</v>
      </c>
      <c r="J650" s="12" t="s">
        <v>94</v>
      </c>
      <c r="K650" s="12" t="s">
        <v>95</v>
      </c>
      <c r="L650" s="12" t="s">
        <v>96</v>
      </c>
      <c r="M650" s="11" t="s">
        <v>88</v>
      </c>
    </row>
    <row r="651" customFormat="false" ht="28.35" hidden="false" customHeight="false" outlineLevel="0" collapsed="false">
      <c r="A651" s="11" t="s">
        <v>1317</v>
      </c>
      <c r="B651" s="12" t="s">
        <v>54</v>
      </c>
      <c r="C651" s="12" t="s">
        <v>53</v>
      </c>
      <c r="D651" s="12" t="n">
        <v>40</v>
      </c>
      <c r="E651" s="12" t="s">
        <v>959</v>
      </c>
      <c r="F651" s="12" t="s">
        <v>132</v>
      </c>
      <c r="G651" s="12" t="s">
        <v>1318</v>
      </c>
      <c r="H651" s="12" t="s">
        <v>1255</v>
      </c>
      <c r="I651" s="12" t="s">
        <v>93</v>
      </c>
      <c r="J651" s="12" t="s">
        <v>94</v>
      </c>
      <c r="K651" s="12" t="s">
        <v>95</v>
      </c>
      <c r="L651" s="12" t="s">
        <v>96</v>
      </c>
      <c r="M651" s="11" t="s">
        <v>88</v>
      </c>
    </row>
    <row r="652" customFormat="false" ht="28.35" hidden="false" customHeight="false" outlineLevel="0" collapsed="false">
      <c r="A652" s="11" t="s">
        <v>1319</v>
      </c>
      <c r="B652" s="12" t="s">
        <v>54</v>
      </c>
      <c r="C652" s="12" t="s">
        <v>53</v>
      </c>
      <c r="D652" s="12" t="n">
        <v>41</v>
      </c>
      <c r="E652" s="12" t="s">
        <v>959</v>
      </c>
      <c r="F652" s="12" t="s">
        <v>132</v>
      </c>
      <c r="G652" s="12" t="s">
        <v>1320</v>
      </c>
      <c r="H652" s="12" t="s">
        <v>1255</v>
      </c>
      <c r="I652" s="12" t="s">
        <v>93</v>
      </c>
      <c r="J652" s="12" t="s">
        <v>94</v>
      </c>
      <c r="K652" s="12" t="s">
        <v>95</v>
      </c>
      <c r="L652" s="12" t="s">
        <v>96</v>
      </c>
      <c r="M652" s="11" t="s">
        <v>88</v>
      </c>
    </row>
    <row r="653" customFormat="false" ht="28.35" hidden="false" customHeight="false" outlineLevel="0" collapsed="false">
      <c r="A653" s="11" t="s">
        <v>1321</v>
      </c>
      <c r="B653" s="12" t="s">
        <v>54</v>
      </c>
      <c r="C653" s="12" t="s">
        <v>53</v>
      </c>
      <c r="D653" s="12" t="n">
        <v>42</v>
      </c>
      <c r="E653" s="12" t="s">
        <v>959</v>
      </c>
      <c r="F653" s="12" t="s">
        <v>132</v>
      </c>
      <c r="G653" s="12" t="s">
        <v>1322</v>
      </c>
      <c r="H653" s="12" t="s">
        <v>1255</v>
      </c>
      <c r="I653" s="12" t="s">
        <v>93</v>
      </c>
      <c r="J653" s="12" t="s">
        <v>94</v>
      </c>
      <c r="K653" s="12" t="s">
        <v>95</v>
      </c>
      <c r="L653" s="12" t="s">
        <v>96</v>
      </c>
      <c r="M653" s="11" t="s">
        <v>88</v>
      </c>
    </row>
    <row r="654" customFormat="false" ht="28.35" hidden="false" customHeight="false" outlineLevel="0" collapsed="false">
      <c r="A654" s="11" t="s">
        <v>1323</v>
      </c>
      <c r="B654" s="12" t="s">
        <v>54</v>
      </c>
      <c r="C654" s="12" t="s">
        <v>53</v>
      </c>
      <c r="D654" s="12" t="n">
        <v>43</v>
      </c>
      <c r="E654" s="12" t="s">
        <v>959</v>
      </c>
      <c r="F654" s="12" t="s">
        <v>132</v>
      </c>
      <c r="G654" s="12" t="s">
        <v>1324</v>
      </c>
      <c r="H654" s="12" t="s">
        <v>1255</v>
      </c>
      <c r="I654" s="12" t="s">
        <v>93</v>
      </c>
      <c r="J654" s="12" t="s">
        <v>94</v>
      </c>
      <c r="K654" s="12" t="s">
        <v>95</v>
      </c>
      <c r="L654" s="12" t="s">
        <v>96</v>
      </c>
      <c r="M654" s="11" t="s">
        <v>88</v>
      </c>
    </row>
    <row r="655" customFormat="false" ht="28.35" hidden="false" customHeight="false" outlineLevel="0" collapsed="false">
      <c r="A655" s="11" t="s">
        <v>1325</v>
      </c>
      <c r="B655" s="12" t="s">
        <v>54</v>
      </c>
      <c r="C655" s="12" t="s">
        <v>53</v>
      </c>
      <c r="D655" s="12" t="n">
        <v>44</v>
      </c>
      <c r="E655" s="12" t="s">
        <v>959</v>
      </c>
      <c r="F655" s="12" t="s">
        <v>132</v>
      </c>
      <c r="G655" s="12" t="s">
        <v>1326</v>
      </c>
      <c r="H655" s="12" t="s">
        <v>1255</v>
      </c>
      <c r="I655" s="12" t="s">
        <v>93</v>
      </c>
      <c r="J655" s="12" t="s">
        <v>94</v>
      </c>
      <c r="K655" s="12" t="s">
        <v>95</v>
      </c>
      <c r="L655" s="12" t="s">
        <v>96</v>
      </c>
      <c r="M655" s="11" t="s">
        <v>88</v>
      </c>
    </row>
    <row r="656" customFormat="false" ht="28.35" hidden="false" customHeight="false" outlineLevel="0" collapsed="false">
      <c r="A656" s="11" t="s">
        <v>1327</v>
      </c>
      <c r="B656" s="12" t="s">
        <v>54</v>
      </c>
      <c r="C656" s="12" t="s">
        <v>53</v>
      </c>
      <c r="D656" s="12" t="n">
        <v>45</v>
      </c>
      <c r="E656" s="12" t="s">
        <v>959</v>
      </c>
      <c r="F656" s="12" t="s">
        <v>98</v>
      </c>
      <c r="G656" s="12" t="s">
        <v>1328</v>
      </c>
      <c r="H656" s="12" t="s">
        <v>1255</v>
      </c>
      <c r="I656" s="12" t="s">
        <v>93</v>
      </c>
      <c r="J656" s="12" t="s">
        <v>94</v>
      </c>
      <c r="K656" s="12" t="s">
        <v>95</v>
      </c>
      <c r="L656" s="12" t="s">
        <v>96</v>
      </c>
      <c r="M656" s="11" t="s">
        <v>88</v>
      </c>
    </row>
    <row r="657" customFormat="false" ht="28.35" hidden="false" customHeight="false" outlineLevel="0" collapsed="false">
      <c r="A657" s="11" t="s">
        <v>1329</v>
      </c>
      <c r="B657" s="12" t="s">
        <v>54</v>
      </c>
      <c r="C657" s="12" t="s">
        <v>53</v>
      </c>
      <c r="D657" s="12" t="n">
        <v>46</v>
      </c>
      <c r="E657" s="12" t="s">
        <v>959</v>
      </c>
      <c r="F657" s="12" t="s">
        <v>132</v>
      </c>
      <c r="G657" s="12" t="s">
        <v>1330</v>
      </c>
      <c r="H657" s="12" t="s">
        <v>1255</v>
      </c>
      <c r="I657" s="12" t="s">
        <v>93</v>
      </c>
      <c r="J657" s="12" t="s">
        <v>94</v>
      </c>
      <c r="K657" s="12" t="s">
        <v>95</v>
      </c>
      <c r="L657" s="12" t="s">
        <v>96</v>
      </c>
      <c r="M657" s="11" t="s">
        <v>88</v>
      </c>
    </row>
    <row r="658" customFormat="false" ht="28.35" hidden="false" customHeight="false" outlineLevel="0" collapsed="false">
      <c r="A658" s="11" t="s">
        <v>1331</v>
      </c>
      <c r="B658" s="12" t="s">
        <v>54</v>
      </c>
      <c r="C658" s="12" t="s">
        <v>53</v>
      </c>
      <c r="D658" s="12" t="n">
        <v>47</v>
      </c>
      <c r="E658" s="12" t="s">
        <v>959</v>
      </c>
      <c r="F658" s="12" t="s">
        <v>132</v>
      </c>
      <c r="G658" s="12" t="s">
        <v>1332</v>
      </c>
      <c r="H658" s="12" t="s">
        <v>1255</v>
      </c>
      <c r="I658" s="12" t="s">
        <v>93</v>
      </c>
      <c r="J658" s="12" t="s">
        <v>94</v>
      </c>
      <c r="K658" s="12" t="s">
        <v>95</v>
      </c>
      <c r="L658" s="12" t="s">
        <v>96</v>
      </c>
      <c r="M658" s="11" t="s">
        <v>88</v>
      </c>
    </row>
    <row r="659" customFormat="false" ht="28.35" hidden="false" customHeight="false" outlineLevel="0" collapsed="false">
      <c r="A659" s="11" t="s">
        <v>1333</v>
      </c>
      <c r="B659" s="12" t="s">
        <v>54</v>
      </c>
      <c r="C659" s="12" t="s">
        <v>53</v>
      </c>
      <c r="D659" s="12" t="n">
        <v>48</v>
      </c>
      <c r="E659" s="12" t="s">
        <v>959</v>
      </c>
      <c r="F659" s="12" t="s">
        <v>132</v>
      </c>
      <c r="G659" s="12" t="s">
        <v>1334</v>
      </c>
      <c r="H659" s="12" t="s">
        <v>1255</v>
      </c>
      <c r="I659" s="12" t="s">
        <v>93</v>
      </c>
      <c r="J659" s="12" t="s">
        <v>94</v>
      </c>
      <c r="K659" s="12" t="s">
        <v>95</v>
      </c>
      <c r="L659" s="12" t="s">
        <v>96</v>
      </c>
      <c r="M659" s="11" t="s">
        <v>88</v>
      </c>
    </row>
    <row r="660" customFormat="false" ht="28.35" hidden="false" customHeight="false" outlineLevel="0" collapsed="false">
      <c r="A660" s="11" t="s">
        <v>1335</v>
      </c>
      <c r="B660" s="12" t="s">
        <v>54</v>
      </c>
      <c r="C660" s="12" t="s">
        <v>53</v>
      </c>
      <c r="D660" s="12" t="n">
        <v>49</v>
      </c>
      <c r="E660" s="12" t="s">
        <v>959</v>
      </c>
      <c r="F660" s="12" t="s">
        <v>132</v>
      </c>
      <c r="G660" s="12" t="s">
        <v>1336</v>
      </c>
      <c r="H660" s="12" t="s">
        <v>1255</v>
      </c>
      <c r="I660" s="12" t="s">
        <v>93</v>
      </c>
      <c r="J660" s="12" t="s">
        <v>94</v>
      </c>
      <c r="K660" s="12" t="s">
        <v>95</v>
      </c>
      <c r="L660" s="12" t="s">
        <v>96</v>
      </c>
      <c r="M660" s="11" t="s">
        <v>88</v>
      </c>
    </row>
    <row r="661" customFormat="false" ht="28.35" hidden="false" customHeight="false" outlineLevel="0" collapsed="false">
      <c r="A661" s="11" t="s">
        <v>1337</v>
      </c>
      <c r="B661" s="12" t="s">
        <v>54</v>
      </c>
      <c r="C661" s="12" t="s">
        <v>53</v>
      </c>
      <c r="D661" s="12" t="n">
        <v>50</v>
      </c>
      <c r="E661" s="12" t="s">
        <v>959</v>
      </c>
      <c r="F661" s="12" t="s">
        <v>132</v>
      </c>
      <c r="G661" s="12" t="s">
        <v>301</v>
      </c>
      <c r="H661" s="12" t="s">
        <v>1255</v>
      </c>
      <c r="I661" s="12" t="s">
        <v>93</v>
      </c>
      <c r="J661" s="12" t="s">
        <v>94</v>
      </c>
      <c r="K661" s="12" t="s">
        <v>95</v>
      </c>
      <c r="L661" s="12" t="s">
        <v>96</v>
      </c>
      <c r="M661" s="11" t="s">
        <v>88</v>
      </c>
    </row>
    <row r="662" customFormat="false" ht="28.35" hidden="false" customHeight="false" outlineLevel="0" collapsed="false">
      <c r="A662" s="11" t="s">
        <v>1338</v>
      </c>
      <c r="B662" s="12" t="s">
        <v>54</v>
      </c>
      <c r="C662" s="12" t="s">
        <v>53</v>
      </c>
      <c r="D662" s="12" t="n">
        <v>51</v>
      </c>
      <c r="E662" s="12" t="s">
        <v>959</v>
      </c>
      <c r="F662" s="12" t="s">
        <v>132</v>
      </c>
      <c r="G662" s="12" t="s">
        <v>1339</v>
      </c>
      <c r="H662" s="12" t="s">
        <v>1255</v>
      </c>
      <c r="I662" s="12" t="s">
        <v>93</v>
      </c>
      <c r="J662" s="12" t="s">
        <v>94</v>
      </c>
      <c r="K662" s="12" t="s">
        <v>95</v>
      </c>
      <c r="L662" s="12" t="s">
        <v>96</v>
      </c>
      <c r="M662" s="11" t="s">
        <v>88</v>
      </c>
    </row>
    <row r="663" customFormat="false" ht="28.35" hidden="false" customHeight="false" outlineLevel="0" collapsed="false">
      <c r="A663" s="11" t="s">
        <v>1340</v>
      </c>
      <c r="B663" s="12" t="s">
        <v>54</v>
      </c>
      <c r="C663" s="12" t="s">
        <v>53</v>
      </c>
      <c r="D663" s="12" t="n">
        <v>52</v>
      </c>
      <c r="E663" s="12" t="s">
        <v>959</v>
      </c>
      <c r="F663" s="12" t="s">
        <v>132</v>
      </c>
      <c r="G663" s="12" t="s">
        <v>1341</v>
      </c>
      <c r="H663" s="12" t="s">
        <v>1255</v>
      </c>
      <c r="I663" s="12" t="s">
        <v>93</v>
      </c>
      <c r="J663" s="12" t="s">
        <v>94</v>
      </c>
      <c r="K663" s="12" t="s">
        <v>95</v>
      </c>
      <c r="L663" s="12" t="s">
        <v>96</v>
      </c>
      <c r="M663" s="11" t="s">
        <v>88</v>
      </c>
    </row>
    <row r="664" customFormat="false" ht="28.35" hidden="false" customHeight="false" outlineLevel="0" collapsed="false">
      <c r="A664" s="11" t="s">
        <v>1342</v>
      </c>
      <c r="B664" s="12" t="s">
        <v>54</v>
      </c>
      <c r="C664" s="12" t="s">
        <v>53</v>
      </c>
      <c r="D664" s="12" t="n">
        <v>53</v>
      </c>
      <c r="E664" s="12" t="s">
        <v>959</v>
      </c>
      <c r="F664" s="12" t="s">
        <v>132</v>
      </c>
      <c r="G664" s="12" t="s">
        <v>1343</v>
      </c>
      <c r="H664" s="12" t="s">
        <v>1255</v>
      </c>
      <c r="I664" s="12" t="s">
        <v>93</v>
      </c>
      <c r="J664" s="12" t="s">
        <v>94</v>
      </c>
      <c r="K664" s="12" t="s">
        <v>95</v>
      </c>
      <c r="L664" s="12" t="s">
        <v>96</v>
      </c>
      <c r="M664" s="11" t="s">
        <v>88</v>
      </c>
    </row>
    <row r="665" customFormat="false" ht="28.35" hidden="false" customHeight="false" outlineLevel="0" collapsed="false">
      <c r="A665" s="11" t="s">
        <v>1344</v>
      </c>
      <c r="B665" s="12" t="s">
        <v>54</v>
      </c>
      <c r="C665" s="12" t="s">
        <v>53</v>
      </c>
      <c r="D665" s="12" t="n">
        <v>54</v>
      </c>
      <c r="E665" s="12" t="s">
        <v>959</v>
      </c>
      <c r="F665" s="12" t="s">
        <v>132</v>
      </c>
      <c r="G665" s="12" t="s">
        <v>1345</v>
      </c>
      <c r="H665" s="12" t="s">
        <v>1255</v>
      </c>
      <c r="I665" s="12" t="s">
        <v>93</v>
      </c>
      <c r="J665" s="12" t="s">
        <v>94</v>
      </c>
      <c r="K665" s="12" t="s">
        <v>95</v>
      </c>
      <c r="L665" s="12" t="s">
        <v>96</v>
      </c>
      <c r="M665" s="11" t="s">
        <v>88</v>
      </c>
    </row>
    <row r="666" customFormat="false" ht="28.35" hidden="false" customHeight="false" outlineLevel="0" collapsed="false">
      <c r="A666" s="11" t="s">
        <v>1346</v>
      </c>
      <c r="B666" s="12" t="s">
        <v>54</v>
      </c>
      <c r="C666" s="12" t="s">
        <v>53</v>
      </c>
      <c r="D666" s="12" t="n">
        <v>55</v>
      </c>
      <c r="E666" s="12" t="s">
        <v>959</v>
      </c>
      <c r="F666" s="12" t="s">
        <v>132</v>
      </c>
      <c r="G666" s="12" t="s">
        <v>558</v>
      </c>
      <c r="H666" s="12" t="s">
        <v>1255</v>
      </c>
      <c r="I666" s="12" t="s">
        <v>93</v>
      </c>
      <c r="J666" s="12" t="s">
        <v>94</v>
      </c>
      <c r="K666" s="12" t="s">
        <v>95</v>
      </c>
      <c r="L666" s="12" t="s">
        <v>96</v>
      </c>
      <c r="M666" s="11" t="s">
        <v>88</v>
      </c>
    </row>
    <row r="667" customFormat="false" ht="28.35" hidden="false" customHeight="false" outlineLevel="0" collapsed="false">
      <c r="A667" s="11" t="s">
        <v>1347</v>
      </c>
      <c r="B667" s="12" t="s">
        <v>54</v>
      </c>
      <c r="C667" s="12" t="s">
        <v>53</v>
      </c>
      <c r="D667" s="12" t="n">
        <v>56</v>
      </c>
      <c r="E667" s="12" t="s">
        <v>959</v>
      </c>
      <c r="F667" s="12" t="s">
        <v>132</v>
      </c>
      <c r="G667" s="12" t="s">
        <v>311</v>
      </c>
      <c r="H667" s="12" t="s">
        <v>1255</v>
      </c>
      <c r="I667" s="12" t="s">
        <v>93</v>
      </c>
      <c r="J667" s="12" t="s">
        <v>94</v>
      </c>
      <c r="K667" s="12" t="s">
        <v>95</v>
      </c>
      <c r="L667" s="12" t="s">
        <v>96</v>
      </c>
      <c r="M667" s="11" t="s">
        <v>88</v>
      </c>
    </row>
    <row r="668" customFormat="false" ht="28.35" hidden="false" customHeight="false" outlineLevel="0" collapsed="false">
      <c r="A668" s="11" t="s">
        <v>1348</v>
      </c>
      <c r="B668" s="12" t="s">
        <v>54</v>
      </c>
      <c r="C668" s="12" t="s">
        <v>53</v>
      </c>
      <c r="D668" s="12" t="n">
        <v>57</v>
      </c>
      <c r="E668" s="12" t="s">
        <v>959</v>
      </c>
      <c r="F668" s="12" t="s">
        <v>132</v>
      </c>
      <c r="G668" s="12" t="s">
        <v>1349</v>
      </c>
      <c r="H668" s="12" t="s">
        <v>1255</v>
      </c>
      <c r="I668" s="12" t="s">
        <v>93</v>
      </c>
      <c r="J668" s="12" t="s">
        <v>94</v>
      </c>
      <c r="K668" s="12" t="s">
        <v>95</v>
      </c>
      <c r="L668" s="12" t="s">
        <v>96</v>
      </c>
      <c r="M668" s="11" t="s">
        <v>88</v>
      </c>
    </row>
    <row r="669" customFormat="false" ht="28.35" hidden="false" customHeight="false" outlineLevel="0" collapsed="false">
      <c r="A669" s="11" t="s">
        <v>1350</v>
      </c>
      <c r="B669" s="12" t="s">
        <v>54</v>
      </c>
      <c r="C669" s="12" t="s">
        <v>53</v>
      </c>
      <c r="D669" s="12" t="n">
        <v>58</v>
      </c>
      <c r="E669" s="12" t="s">
        <v>959</v>
      </c>
      <c r="F669" s="12" t="s">
        <v>132</v>
      </c>
      <c r="G669" s="12" t="s">
        <v>1351</v>
      </c>
      <c r="H669" s="12" t="s">
        <v>1255</v>
      </c>
      <c r="I669" s="12" t="s">
        <v>93</v>
      </c>
      <c r="J669" s="12" t="s">
        <v>94</v>
      </c>
      <c r="K669" s="12" t="s">
        <v>95</v>
      </c>
      <c r="L669" s="12" t="s">
        <v>96</v>
      </c>
      <c r="M669" s="11" t="s">
        <v>88</v>
      </c>
    </row>
    <row r="670" customFormat="false" ht="41.75" hidden="false" customHeight="false" outlineLevel="0" collapsed="false">
      <c r="A670" s="11" t="s">
        <v>1352</v>
      </c>
      <c r="B670" s="12" t="s">
        <v>54</v>
      </c>
      <c r="C670" s="12" t="s">
        <v>53</v>
      </c>
      <c r="D670" s="12" t="n">
        <v>59</v>
      </c>
      <c r="E670" s="12" t="s">
        <v>959</v>
      </c>
      <c r="F670" s="12" t="s">
        <v>132</v>
      </c>
      <c r="G670" s="12" t="s">
        <v>1353</v>
      </c>
      <c r="H670" s="12" t="s">
        <v>1255</v>
      </c>
      <c r="I670" s="12" t="s">
        <v>93</v>
      </c>
      <c r="J670" s="12" t="s">
        <v>94</v>
      </c>
      <c r="K670" s="12" t="s">
        <v>95</v>
      </c>
      <c r="L670" s="12" t="s">
        <v>96</v>
      </c>
      <c r="M670" s="11" t="s">
        <v>88</v>
      </c>
    </row>
    <row r="671" customFormat="false" ht="28.35" hidden="false" customHeight="false" outlineLevel="0" collapsed="false">
      <c r="A671" s="11" t="s">
        <v>1354</v>
      </c>
      <c r="B671" s="12" t="s">
        <v>54</v>
      </c>
      <c r="C671" s="12" t="s">
        <v>53</v>
      </c>
      <c r="D671" s="12" t="n">
        <v>60</v>
      </c>
      <c r="E671" s="12" t="s">
        <v>959</v>
      </c>
      <c r="F671" s="12" t="s">
        <v>132</v>
      </c>
      <c r="G671" s="12" t="s">
        <v>1355</v>
      </c>
      <c r="H671" s="12" t="s">
        <v>1255</v>
      </c>
      <c r="I671" s="12" t="s">
        <v>93</v>
      </c>
      <c r="J671" s="12" t="s">
        <v>94</v>
      </c>
      <c r="K671" s="12" t="s">
        <v>95</v>
      </c>
      <c r="L671" s="12" t="s">
        <v>96</v>
      </c>
      <c r="M671" s="11" t="s">
        <v>88</v>
      </c>
    </row>
    <row r="672" customFormat="false" ht="28.35" hidden="false" customHeight="false" outlineLevel="0" collapsed="false">
      <c r="A672" s="11" t="s">
        <v>1356</v>
      </c>
      <c r="B672" s="12" t="s">
        <v>54</v>
      </c>
      <c r="C672" s="12" t="s">
        <v>53</v>
      </c>
      <c r="D672" s="12" t="n">
        <v>61</v>
      </c>
      <c r="E672" s="12" t="s">
        <v>959</v>
      </c>
      <c r="F672" s="12" t="s">
        <v>132</v>
      </c>
      <c r="G672" s="12" t="s">
        <v>1357</v>
      </c>
      <c r="H672" s="12" t="s">
        <v>1255</v>
      </c>
      <c r="I672" s="12" t="s">
        <v>93</v>
      </c>
      <c r="J672" s="12" t="s">
        <v>94</v>
      </c>
      <c r="K672" s="12" t="s">
        <v>95</v>
      </c>
      <c r="L672" s="12" t="s">
        <v>96</v>
      </c>
      <c r="M672" s="11" t="s">
        <v>88</v>
      </c>
    </row>
    <row r="673" customFormat="false" ht="28.35" hidden="false" customHeight="false" outlineLevel="0" collapsed="false">
      <c r="A673" s="11" t="s">
        <v>1358</v>
      </c>
      <c r="B673" s="12" t="s">
        <v>54</v>
      </c>
      <c r="C673" s="12" t="s">
        <v>53</v>
      </c>
      <c r="D673" s="12" t="n">
        <v>62</v>
      </c>
      <c r="E673" s="12" t="s">
        <v>959</v>
      </c>
      <c r="F673" s="12" t="s">
        <v>132</v>
      </c>
      <c r="G673" s="12" t="s">
        <v>1359</v>
      </c>
      <c r="H673" s="12" t="s">
        <v>1255</v>
      </c>
      <c r="I673" s="12" t="s">
        <v>93</v>
      </c>
      <c r="J673" s="12" t="s">
        <v>94</v>
      </c>
      <c r="K673" s="12" t="s">
        <v>95</v>
      </c>
      <c r="L673" s="12" t="s">
        <v>96</v>
      </c>
      <c r="M673" s="11" t="s">
        <v>88</v>
      </c>
    </row>
    <row r="674" customFormat="false" ht="28.35" hidden="false" customHeight="false" outlineLevel="0" collapsed="false">
      <c r="A674" s="11" t="s">
        <v>1360</v>
      </c>
      <c r="B674" s="12" t="s">
        <v>54</v>
      </c>
      <c r="C674" s="12" t="s">
        <v>53</v>
      </c>
      <c r="D674" s="12" t="n">
        <v>63</v>
      </c>
      <c r="E674" s="12" t="s">
        <v>959</v>
      </c>
      <c r="F674" s="12" t="s">
        <v>132</v>
      </c>
      <c r="G674" s="12" t="s">
        <v>1361</v>
      </c>
      <c r="H674" s="12" t="s">
        <v>1255</v>
      </c>
      <c r="I674" s="12" t="s">
        <v>93</v>
      </c>
      <c r="J674" s="12" t="s">
        <v>94</v>
      </c>
      <c r="K674" s="12" t="s">
        <v>95</v>
      </c>
      <c r="L674" s="12" t="s">
        <v>96</v>
      </c>
      <c r="M674" s="11" t="s">
        <v>88</v>
      </c>
    </row>
    <row r="675" customFormat="false" ht="28.35" hidden="false" customHeight="false" outlineLevel="0" collapsed="false">
      <c r="A675" s="11" t="s">
        <v>1362</v>
      </c>
      <c r="B675" s="12" t="s">
        <v>54</v>
      </c>
      <c r="C675" s="12" t="s">
        <v>53</v>
      </c>
      <c r="D675" s="12" t="n">
        <v>64</v>
      </c>
      <c r="E675" s="12" t="s">
        <v>959</v>
      </c>
      <c r="F675" s="12" t="s">
        <v>98</v>
      </c>
      <c r="G675" s="12" t="s">
        <v>1363</v>
      </c>
      <c r="H675" s="12" t="s">
        <v>1255</v>
      </c>
      <c r="I675" s="12" t="s">
        <v>93</v>
      </c>
      <c r="J675" s="12" t="s">
        <v>94</v>
      </c>
      <c r="K675" s="12" t="s">
        <v>95</v>
      </c>
      <c r="L675" s="12" t="s">
        <v>96</v>
      </c>
      <c r="M675" s="11" t="s">
        <v>88</v>
      </c>
    </row>
    <row r="676" customFormat="false" ht="68.65" hidden="false" customHeight="false" outlineLevel="0" collapsed="false">
      <c r="A676" s="11" t="s">
        <v>1364</v>
      </c>
      <c r="B676" s="12" t="s">
        <v>54</v>
      </c>
      <c r="C676" s="12" t="s">
        <v>53</v>
      </c>
      <c r="D676" s="12" t="n">
        <v>65</v>
      </c>
      <c r="E676" s="12" t="s">
        <v>959</v>
      </c>
      <c r="F676" s="12" t="s">
        <v>98</v>
      </c>
      <c r="G676" s="12" t="s">
        <v>1365</v>
      </c>
      <c r="H676" s="12" t="s">
        <v>1255</v>
      </c>
      <c r="I676" s="12" t="s">
        <v>93</v>
      </c>
      <c r="J676" s="12" t="s">
        <v>94</v>
      </c>
      <c r="K676" s="12" t="s">
        <v>95</v>
      </c>
      <c r="L676" s="12" t="s">
        <v>96</v>
      </c>
      <c r="M676" s="11" t="s">
        <v>88</v>
      </c>
    </row>
    <row r="677" customFormat="false" ht="28.35" hidden="false" customHeight="false" outlineLevel="0" collapsed="false">
      <c r="A677" s="11" t="s">
        <v>1366</v>
      </c>
      <c r="B677" s="12" t="s">
        <v>54</v>
      </c>
      <c r="C677" s="12" t="s">
        <v>53</v>
      </c>
      <c r="D677" s="12" t="n">
        <v>66</v>
      </c>
      <c r="E677" s="12" t="s">
        <v>331</v>
      </c>
      <c r="F677" s="12" t="s">
        <v>82</v>
      </c>
      <c r="G677" s="12" t="s">
        <v>331</v>
      </c>
      <c r="H677" s="12" t="s">
        <v>1255</v>
      </c>
      <c r="I677" s="12" t="s">
        <v>84</v>
      </c>
      <c r="J677" s="12" t="s">
        <v>85</v>
      </c>
      <c r="K677" s="12" t="s">
        <v>86</v>
      </c>
      <c r="L677" s="12" t="s">
        <v>87</v>
      </c>
      <c r="M677" s="11" t="s">
        <v>88</v>
      </c>
    </row>
    <row r="678" customFormat="false" ht="28.35" hidden="false" customHeight="false" outlineLevel="0" collapsed="false">
      <c r="A678" s="11" t="s">
        <v>1367</v>
      </c>
      <c r="B678" s="12" t="s">
        <v>54</v>
      </c>
      <c r="C678" s="12" t="s">
        <v>53</v>
      </c>
      <c r="D678" s="12" t="n">
        <v>67</v>
      </c>
      <c r="E678" s="12" t="s">
        <v>331</v>
      </c>
      <c r="F678" s="12" t="s">
        <v>132</v>
      </c>
      <c r="G678" s="12" t="s">
        <v>333</v>
      </c>
      <c r="H678" s="12" t="s">
        <v>1255</v>
      </c>
      <c r="I678" s="12" t="s">
        <v>84</v>
      </c>
      <c r="J678" s="12" t="s">
        <v>85</v>
      </c>
      <c r="K678" s="12" t="s">
        <v>86</v>
      </c>
      <c r="L678" s="12" t="s">
        <v>87</v>
      </c>
      <c r="M678" s="11" t="s">
        <v>88</v>
      </c>
    </row>
    <row r="679" customFormat="false" ht="28.35" hidden="false" customHeight="false" outlineLevel="0" collapsed="false">
      <c r="A679" s="11" t="s">
        <v>1368</v>
      </c>
      <c r="B679" s="12" t="s">
        <v>54</v>
      </c>
      <c r="C679" s="12" t="s">
        <v>53</v>
      </c>
      <c r="D679" s="12" t="n">
        <v>68</v>
      </c>
      <c r="E679" s="12" t="s">
        <v>331</v>
      </c>
      <c r="F679" s="12" t="s">
        <v>132</v>
      </c>
      <c r="G679" s="12" t="s">
        <v>1369</v>
      </c>
      <c r="H679" s="12" t="s">
        <v>1255</v>
      </c>
      <c r="I679" s="12" t="s">
        <v>84</v>
      </c>
      <c r="J679" s="12" t="s">
        <v>85</v>
      </c>
      <c r="K679" s="12" t="s">
        <v>86</v>
      </c>
      <c r="L679" s="12" t="s">
        <v>87</v>
      </c>
      <c r="M679" s="11" t="s">
        <v>88</v>
      </c>
    </row>
    <row r="680" customFormat="false" ht="28.35" hidden="false" customHeight="false" outlineLevel="0" collapsed="false">
      <c r="A680" s="11" t="s">
        <v>1370</v>
      </c>
      <c r="B680" s="12" t="s">
        <v>54</v>
      </c>
      <c r="C680" s="12" t="s">
        <v>53</v>
      </c>
      <c r="D680" s="12" t="n">
        <v>69</v>
      </c>
      <c r="E680" s="12" t="s">
        <v>331</v>
      </c>
      <c r="F680" s="12" t="s">
        <v>132</v>
      </c>
      <c r="G680" s="12" t="s">
        <v>1371</v>
      </c>
      <c r="H680" s="12" t="s">
        <v>1255</v>
      </c>
      <c r="I680" s="12" t="s">
        <v>84</v>
      </c>
      <c r="J680" s="12" t="s">
        <v>85</v>
      </c>
      <c r="K680" s="12" t="s">
        <v>86</v>
      </c>
      <c r="L680" s="12" t="s">
        <v>87</v>
      </c>
      <c r="M680" s="11" t="s">
        <v>88</v>
      </c>
    </row>
    <row r="681" customFormat="false" ht="28.35" hidden="false" customHeight="false" outlineLevel="0" collapsed="false">
      <c r="A681" s="11" t="s">
        <v>1372</v>
      </c>
      <c r="B681" s="12" t="s">
        <v>54</v>
      </c>
      <c r="C681" s="12" t="s">
        <v>53</v>
      </c>
      <c r="D681" s="12" t="n">
        <v>70</v>
      </c>
      <c r="E681" s="12" t="s">
        <v>331</v>
      </c>
      <c r="F681" s="12" t="s">
        <v>132</v>
      </c>
      <c r="G681" s="12" t="s">
        <v>795</v>
      </c>
      <c r="H681" s="12" t="s">
        <v>1255</v>
      </c>
      <c r="I681" s="12" t="s">
        <v>84</v>
      </c>
      <c r="J681" s="12" t="s">
        <v>85</v>
      </c>
      <c r="K681" s="12" t="s">
        <v>86</v>
      </c>
      <c r="L681" s="12" t="s">
        <v>87</v>
      </c>
      <c r="M681" s="11" t="s">
        <v>88</v>
      </c>
    </row>
    <row r="682" customFormat="false" ht="28.35" hidden="false" customHeight="false" outlineLevel="0" collapsed="false">
      <c r="A682" s="11" t="s">
        <v>1373</v>
      </c>
      <c r="B682" s="12" t="s">
        <v>54</v>
      </c>
      <c r="C682" s="12" t="s">
        <v>53</v>
      </c>
      <c r="D682" s="12" t="n">
        <v>71</v>
      </c>
      <c r="E682" s="12" t="s">
        <v>331</v>
      </c>
      <c r="F682" s="12" t="s">
        <v>132</v>
      </c>
      <c r="G682" s="12" t="s">
        <v>580</v>
      </c>
      <c r="H682" s="12" t="s">
        <v>1255</v>
      </c>
      <c r="I682" s="12" t="s">
        <v>84</v>
      </c>
      <c r="J682" s="12" t="s">
        <v>85</v>
      </c>
      <c r="K682" s="12" t="s">
        <v>86</v>
      </c>
      <c r="L682" s="12" t="s">
        <v>87</v>
      </c>
      <c r="M682" s="11" t="s">
        <v>88</v>
      </c>
    </row>
    <row r="683" customFormat="false" ht="28.35" hidden="false" customHeight="false" outlineLevel="0" collapsed="false">
      <c r="A683" s="11" t="s">
        <v>1374</v>
      </c>
      <c r="B683" s="12" t="s">
        <v>54</v>
      </c>
      <c r="C683" s="12" t="s">
        <v>53</v>
      </c>
      <c r="D683" s="12" t="n">
        <v>72</v>
      </c>
      <c r="E683" s="12" t="s">
        <v>1375</v>
      </c>
      <c r="F683" s="12" t="s">
        <v>82</v>
      </c>
      <c r="G683" s="12" t="s">
        <v>1375</v>
      </c>
      <c r="H683" s="12" t="s">
        <v>1255</v>
      </c>
      <c r="I683" s="12" t="s">
        <v>158</v>
      </c>
      <c r="J683" s="12" t="s">
        <v>159</v>
      </c>
      <c r="K683" s="12" t="s">
        <v>19</v>
      </c>
      <c r="L683" s="12" t="s">
        <v>87</v>
      </c>
      <c r="M683" s="11" t="s">
        <v>88</v>
      </c>
    </row>
    <row r="684" customFormat="false" ht="28.35" hidden="false" customHeight="false" outlineLevel="0" collapsed="false">
      <c r="A684" s="11" t="s">
        <v>1376</v>
      </c>
      <c r="B684" s="12" t="s">
        <v>54</v>
      </c>
      <c r="C684" s="12" t="s">
        <v>53</v>
      </c>
      <c r="D684" s="12" t="n">
        <v>73</v>
      </c>
      <c r="E684" s="12" t="s">
        <v>1375</v>
      </c>
      <c r="F684" s="12" t="s">
        <v>132</v>
      </c>
      <c r="G684" s="12" t="s">
        <v>167</v>
      </c>
      <c r="H684" s="12" t="s">
        <v>1255</v>
      </c>
      <c r="I684" s="12" t="s">
        <v>168</v>
      </c>
      <c r="J684" s="12" t="s">
        <v>169</v>
      </c>
      <c r="K684" s="12" t="s">
        <v>31</v>
      </c>
      <c r="L684" s="12" t="s">
        <v>96</v>
      </c>
      <c r="M684" s="11" t="s">
        <v>170</v>
      </c>
    </row>
    <row r="685" customFormat="false" ht="149.25" hidden="false" customHeight="false" outlineLevel="0" collapsed="false">
      <c r="A685" s="11" t="s">
        <v>1377</v>
      </c>
      <c r="B685" s="12" t="s">
        <v>54</v>
      </c>
      <c r="C685" s="12" t="s">
        <v>53</v>
      </c>
      <c r="D685" s="12" t="n">
        <v>74</v>
      </c>
      <c r="E685" s="12" t="s">
        <v>1375</v>
      </c>
      <c r="F685" s="12" t="s">
        <v>98</v>
      </c>
      <c r="G685" s="12" t="s">
        <v>1378</v>
      </c>
      <c r="H685" s="12" t="s">
        <v>1255</v>
      </c>
      <c r="I685" s="12" t="s">
        <v>175</v>
      </c>
      <c r="J685" s="12" t="s">
        <v>176</v>
      </c>
      <c r="K685" s="12" t="s">
        <v>22</v>
      </c>
      <c r="L685" s="12" t="s">
        <v>96</v>
      </c>
      <c r="M685" s="11" t="s">
        <v>88</v>
      </c>
    </row>
    <row r="686" customFormat="false" ht="108.95" hidden="false" customHeight="false" outlineLevel="0" collapsed="false">
      <c r="A686" s="11" t="s">
        <v>1379</v>
      </c>
      <c r="B686" s="12" t="s">
        <v>54</v>
      </c>
      <c r="C686" s="12" t="s">
        <v>53</v>
      </c>
      <c r="D686" s="12" t="n">
        <v>75</v>
      </c>
      <c r="E686" s="12" t="s">
        <v>1375</v>
      </c>
      <c r="F686" s="12" t="s">
        <v>98</v>
      </c>
      <c r="G686" s="12" t="s">
        <v>1380</v>
      </c>
      <c r="H686" s="12" t="s">
        <v>1255</v>
      </c>
      <c r="I686" s="12" t="s">
        <v>175</v>
      </c>
      <c r="J686" s="12" t="s">
        <v>176</v>
      </c>
      <c r="K686" s="12" t="s">
        <v>22</v>
      </c>
      <c r="L686" s="12" t="s">
        <v>96</v>
      </c>
      <c r="M686" s="11" t="s">
        <v>88</v>
      </c>
    </row>
    <row r="687" customFormat="false" ht="28.35" hidden="false" customHeight="false" outlineLevel="0" collapsed="false">
      <c r="A687" s="11" t="s">
        <v>1381</v>
      </c>
      <c r="B687" s="12" t="s">
        <v>54</v>
      </c>
      <c r="C687" s="12" t="s">
        <v>53</v>
      </c>
      <c r="D687" s="12" t="n">
        <v>76</v>
      </c>
      <c r="E687" s="12" t="s">
        <v>1375</v>
      </c>
      <c r="F687" s="12" t="s">
        <v>98</v>
      </c>
      <c r="G687" s="12" t="s">
        <v>1382</v>
      </c>
      <c r="H687" s="12" t="s">
        <v>1255</v>
      </c>
      <c r="I687" s="12" t="s">
        <v>175</v>
      </c>
      <c r="J687" s="12" t="s">
        <v>176</v>
      </c>
      <c r="K687" s="12" t="s">
        <v>22</v>
      </c>
      <c r="L687" s="12" t="s">
        <v>96</v>
      </c>
      <c r="M687" s="11" t="s">
        <v>88</v>
      </c>
    </row>
    <row r="688" customFormat="false" ht="28.35" hidden="false" customHeight="false" outlineLevel="0" collapsed="false">
      <c r="A688" s="11" t="s">
        <v>1383</v>
      </c>
      <c r="B688" s="12" t="s">
        <v>54</v>
      </c>
      <c r="C688" s="12" t="s">
        <v>53</v>
      </c>
      <c r="D688" s="12" t="n">
        <v>77</v>
      </c>
      <c r="E688" s="12" t="s">
        <v>1375</v>
      </c>
      <c r="F688" s="12" t="s">
        <v>132</v>
      </c>
      <c r="G688" s="12" t="s">
        <v>1384</v>
      </c>
      <c r="H688" s="12" t="s">
        <v>1255</v>
      </c>
      <c r="I688" s="12" t="s">
        <v>164</v>
      </c>
      <c r="J688" s="12" t="s">
        <v>165</v>
      </c>
      <c r="K688" s="12" t="s">
        <v>16</v>
      </c>
      <c r="L688" s="12" t="s">
        <v>87</v>
      </c>
      <c r="M688" s="11" t="s">
        <v>88</v>
      </c>
    </row>
    <row r="689" customFormat="false" ht="28.35" hidden="false" customHeight="false" outlineLevel="0" collapsed="false">
      <c r="A689" s="11" t="s">
        <v>1385</v>
      </c>
      <c r="B689" s="12" t="s">
        <v>54</v>
      </c>
      <c r="C689" s="12" t="s">
        <v>53</v>
      </c>
      <c r="D689" s="12" t="n">
        <v>78</v>
      </c>
      <c r="E689" s="12" t="s">
        <v>1386</v>
      </c>
      <c r="F689" s="12" t="s">
        <v>82</v>
      </c>
      <c r="G689" s="12" t="s">
        <v>1386</v>
      </c>
      <c r="H689" s="12" t="s">
        <v>1255</v>
      </c>
      <c r="I689" s="12" t="s">
        <v>158</v>
      </c>
      <c r="J689" s="12" t="s">
        <v>159</v>
      </c>
      <c r="K689" s="12" t="s">
        <v>19</v>
      </c>
      <c r="L689" s="12" t="s">
        <v>87</v>
      </c>
      <c r="M689" s="11" t="s">
        <v>88</v>
      </c>
    </row>
    <row r="690" customFormat="false" ht="28.35" hidden="false" customHeight="false" outlineLevel="0" collapsed="false">
      <c r="A690" s="11" t="s">
        <v>1387</v>
      </c>
      <c r="B690" s="12" t="s">
        <v>54</v>
      </c>
      <c r="C690" s="12" t="s">
        <v>53</v>
      </c>
      <c r="D690" s="12" t="n">
        <v>79</v>
      </c>
      <c r="E690" s="12" t="s">
        <v>1388</v>
      </c>
      <c r="F690" s="12" t="s">
        <v>82</v>
      </c>
      <c r="G690" s="12" t="s">
        <v>1388</v>
      </c>
      <c r="H690" s="12" t="s">
        <v>1255</v>
      </c>
      <c r="I690" s="12" t="s">
        <v>158</v>
      </c>
      <c r="J690" s="12" t="s">
        <v>159</v>
      </c>
      <c r="K690" s="12" t="s">
        <v>19</v>
      </c>
      <c r="L690" s="12" t="s">
        <v>87</v>
      </c>
      <c r="M690" s="11" t="s">
        <v>88</v>
      </c>
    </row>
    <row r="691" customFormat="false" ht="28.35" hidden="false" customHeight="false" outlineLevel="0" collapsed="false">
      <c r="A691" s="11" t="s">
        <v>1389</v>
      </c>
      <c r="B691" s="12" t="s">
        <v>54</v>
      </c>
      <c r="C691" s="12" t="s">
        <v>53</v>
      </c>
      <c r="D691" s="12" t="n">
        <v>80</v>
      </c>
      <c r="E691" s="12" t="s">
        <v>1388</v>
      </c>
      <c r="F691" s="12" t="s">
        <v>132</v>
      </c>
      <c r="G691" s="12" t="s">
        <v>1390</v>
      </c>
      <c r="H691" s="12" t="s">
        <v>1255</v>
      </c>
      <c r="I691" s="12" t="s">
        <v>164</v>
      </c>
      <c r="J691" s="12" t="s">
        <v>165</v>
      </c>
      <c r="K691" s="12" t="s">
        <v>16</v>
      </c>
      <c r="L691" s="12" t="s">
        <v>87</v>
      </c>
      <c r="M691" s="11" t="s">
        <v>88</v>
      </c>
    </row>
    <row r="692" customFormat="false" ht="28.35" hidden="false" customHeight="false" outlineLevel="0" collapsed="false">
      <c r="A692" s="11" t="s">
        <v>1391</v>
      </c>
      <c r="B692" s="12" t="s">
        <v>54</v>
      </c>
      <c r="C692" s="12" t="s">
        <v>53</v>
      </c>
      <c r="D692" s="12" t="n">
        <v>81</v>
      </c>
      <c r="E692" s="12" t="s">
        <v>1388</v>
      </c>
      <c r="F692" s="12" t="s">
        <v>132</v>
      </c>
      <c r="G692" s="12" t="s">
        <v>1392</v>
      </c>
      <c r="H692" s="12" t="s">
        <v>1255</v>
      </c>
      <c r="I692" s="12" t="s">
        <v>164</v>
      </c>
      <c r="J692" s="12" t="s">
        <v>165</v>
      </c>
      <c r="K692" s="12" t="s">
        <v>16</v>
      </c>
      <c r="L692" s="12" t="s">
        <v>87</v>
      </c>
      <c r="M692" s="11" t="s">
        <v>88</v>
      </c>
    </row>
    <row r="693" customFormat="false" ht="28.35" hidden="false" customHeight="false" outlineLevel="0" collapsed="false">
      <c r="A693" s="11" t="s">
        <v>1393</v>
      </c>
      <c r="B693" s="12" t="s">
        <v>54</v>
      </c>
      <c r="C693" s="12" t="s">
        <v>53</v>
      </c>
      <c r="D693" s="12" t="n">
        <v>82</v>
      </c>
      <c r="E693" s="12" t="s">
        <v>1388</v>
      </c>
      <c r="F693" s="12" t="s">
        <v>98</v>
      </c>
      <c r="G693" s="12" t="s">
        <v>1394</v>
      </c>
      <c r="H693" s="12" t="s">
        <v>1255</v>
      </c>
      <c r="I693" s="12" t="s">
        <v>175</v>
      </c>
      <c r="J693" s="12" t="s">
        <v>176</v>
      </c>
      <c r="K693" s="12" t="s">
        <v>22</v>
      </c>
      <c r="L693" s="12" t="s">
        <v>96</v>
      </c>
      <c r="M693" s="11" t="s">
        <v>88</v>
      </c>
    </row>
    <row r="694" customFormat="false" ht="28.35" hidden="false" customHeight="false" outlineLevel="0" collapsed="false">
      <c r="A694" s="11" t="s">
        <v>1395</v>
      </c>
      <c r="B694" s="12" t="s">
        <v>54</v>
      </c>
      <c r="C694" s="12" t="s">
        <v>53</v>
      </c>
      <c r="D694" s="12" t="n">
        <v>83</v>
      </c>
      <c r="E694" s="12" t="s">
        <v>1388</v>
      </c>
      <c r="F694" s="12" t="s">
        <v>98</v>
      </c>
      <c r="G694" s="12" t="s">
        <v>1396</v>
      </c>
      <c r="H694" s="12" t="s">
        <v>1255</v>
      </c>
      <c r="I694" s="12" t="s">
        <v>175</v>
      </c>
      <c r="J694" s="12" t="s">
        <v>176</v>
      </c>
      <c r="K694" s="12" t="s">
        <v>22</v>
      </c>
      <c r="L694" s="12" t="s">
        <v>96</v>
      </c>
      <c r="M694" s="11" t="s">
        <v>88</v>
      </c>
    </row>
    <row r="695" customFormat="false" ht="28.35" hidden="false" customHeight="false" outlineLevel="0" collapsed="false">
      <c r="A695" s="11" t="s">
        <v>1397</v>
      </c>
      <c r="B695" s="12" t="s">
        <v>54</v>
      </c>
      <c r="C695" s="12" t="s">
        <v>53</v>
      </c>
      <c r="D695" s="12" t="n">
        <v>84</v>
      </c>
      <c r="E695" s="12" t="s">
        <v>1388</v>
      </c>
      <c r="F695" s="12" t="s">
        <v>98</v>
      </c>
      <c r="G695" s="12" t="s">
        <v>1398</v>
      </c>
      <c r="H695" s="12" t="s">
        <v>1255</v>
      </c>
      <c r="I695" s="12" t="s">
        <v>175</v>
      </c>
      <c r="J695" s="12" t="s">
        <v>176</v>
      </c>
      <c r="K695" s="12" t="s">
        <v>22</v>
      </c>
      <c r="L695" s="12" t="s">
        <v>96</v>
      </c>
      <c r="M695" s="11" t="s">
        <v>88</v>
      </c>
    </row>
    <row r="696" customFormat="false" ht="28.35" hidden="false" customHeight="false" outlineLevel="0" collapsed="false">
      <c r="A696" s="11" t="s">
        <v>1399</v>
      </c>
      <c r="B696" s="12" t="s">
        <v>54</v>
      </c>
      <c r="C696" s="12" t="s">
        <v>53</v>
      </c>
      <c r="D696" s="12" t="n">
        <v>85</v>
      </c>
      <c r="E696" s="12" t="s">
        <v>1388</v>
      </c>
      <c r="F696" s="12" t="s">
        <v>98</v>
      </c>
      <c r="G696" s="12" t="s">
        <v>1400</v>
      </c>
      <c r="H696" s="12" t="s">
        <v>1255</v>
      </c>
      <c r="I696" s="12" t="s">
        <v>175</v>
      </c>
      <c r="J696" s="12" t="s">
        <v>176</v>
      </c>
      <c r="K696" s="12" t="s">
        <v>22</v>
      </c>
      <c r="L696" s="12" t="s">
        <v>96</v>
      </c>
      <c r="M696" s="11" t="s">
        <v>88</v>
      </c>
    </row>
    <row r="697" customFormat="false" ht="28.35" hidden="false" customHeight="false" outlineLevel="0" collapsed="false">
      <c r="A697" s="11" t="s">
        <v>1401</v>
      </c>
      <c r="B697" s="12" t="s">
        <v>54</v>
      </c>
      <c r="C697" s="12" t="s">
        <v>53</v>
      </c>
      <c r="D697" s="12" t="n">
        <v>86</v>
      </c>
      <c r="E697" s="12" t="s">
        <v>1388</v>
      </c>
      <c r="F697" s="12" t="s">
        <v>132</v>
      </c>
      <c r="G697" s="12" t="s">
        <v>1402</v>
      </c>
      <c r="H697" s="12" t="s">
        <v>1255</v>
      </c>
      <c r="I697" s="12" t="s">
        <v>164</v>
      </c>
      <c r="J697" s="12" t="s">
        <v>165</v>
      </c>
      <c r="K697" s="12" t="s">
        <v>16</v>
      </c>
      <c r="L697" s="12" t="s">
        <v>87</v>
      </c>
      <c r="M697" s="11" t="s">
        <v>88</v>
      </c>
    </row>
    <row r="698" customFormat="false" ht="28.35" hidden="false" customHeight="false" outlineLevel="0" collapsed="false">
      <c r="A698" s="11" t="s">
        <v>1403</v>
      </c>
      <c r="B698" s="12" t="s">
        <v>54</v>
      </c>
      <c r="C698" s="12" t="s">
        <v>53</v>
      </c>
      <c r="D698" s="12" t="n">
        <v>87</v>
      </c>
      <c r="E698" s="12" t="s">
        <v>1388</v>
      </c>
      <c r="F698" s="12" t="s">
        <v>132</v>
      </c>
      <c r="G698" s="12" t="s">
        <v>1404</v>
      </c>
      <c r="H698" s="12" t="s">
        <v>1255</v>
      </c>
      <c r="I698" s="12" t="s">
        <v>164</v>
      </c>
      <c r="J698" s="12" t="s">
        <v>165</v>
      </c>
      <c r="K698" s="12" t="s">
        <v>16</v>
      </c>
      <c r="L698" s="12" t="s">
        <v>87</v>
      </c>
      <c r="M698" s="11" t="s">
        <v>88</v>
      </c>
    </row>
    <row r="699" customFormat="false" ht="28.35" hidden="false" customHeight="false" outlineLevel="0" collapsed="false">
      <c r="A699" s="11" t="s">
        <v>1405</v>
      </c>
      <c r="B699" s="12" t="s">
        <v>54</v>
      </c>
      <c r="C699" s="12" t="s">
        <v>53</v>
      </c>
      <c r="D699" s="12" t="n">
        <v>88</v>
      </c>
      <c r="E699" s="12" t="s">
        <v>1388</v>
      </c>
      <c r="F699" s="12" t="s">
        <v>132</v>
      </c>
      <c r="G699" s="12" t="s">
        <v>385</v>
      </c>
      <c r="H699" s="12" t="s">
        <v>1255</v>
      </c>
      <c r="I699" s="12" t="s">
        <v>164</v>
      </c>
      <c r="J699" s="12" t="s">
        <v>165</v>
      </c>
      <c r="K699" s="12" t="s">
        <v>16</v>
      </c>
      <c r="L699" s="12" t="s">
        <v>87</v>
      </c>
      <c r="M699" s="11" t="s">
        <v>88</v>
      </c>
    </row>
    <row r="700" customFormat="false" ht="41.75" hidden="false" customHeight="false" outlineLevel="0" collapsed="false">
      <c r="A700" s="11" t="s">
        <v>1406</v>
      </c>
      <c r="B700" s="12" t="s">
        <v>54</v>
      </c>
      <c r="C700" s="12" t="s">
        <v>53</v>
      </c>
      <c r="D700" s="12" t="n">
        <v>89</v>
      </c>
      <c r="E700" s="12" t="s">
        <v>1388</v>
      </c>
      <c r="F700" s="12" t="s">
        <v>98</v>
      </c>
      <c r="G700" s="12" t="s">
        <v>1407</v>
      </c>
      <c r="H700" s="12" t="s">
        <v>1255</v>
      </c>
      <c r="I700" s="12" t="s">
        <v>175</v>
      </c>
      <c r="J700" s="12" t="s">
        <v>176</v>
      </c>
      <c r="K700" s="12" t="s">
        <v>22</v>
      </c>
      <c r="L700" s="12" t="s">
        <v>96</v>
      </c>
      <c r="M700" s="11" t="s">
        <v>88</v>
      </c>
    </row>
    <row r="701" customFormat="false" ht="28.35" hidden="false" customHeight="false" outlineLevel="0" collapsed="false">
      <c r="A701" s="11" t="s">
        <v>1408</v>
      </c>
      <c r="B701" s="12" t="s">
        <v>54</v>
      </c>
      <c r="C701" s="12" t="s">
        <v>53</v>
      </c>
      <c r="D701" s="12" t="n">
        <v>90</v>
      </c>
      <c r="E701" s="12" t="s">
        <v>1409</v>
      </c>
      <c r="F701" s="12" t="s">
        <v>82</v>
      </c>
      <c r="G701" s="12" t="s">
        <v>1409</v>
      </c>
      <c r="H701" s="12" t="s">
        <v>1255</v>
      </c>
      <c r="I701" s="12" t="s">
        <v>158</v>
      </c>
      <c r="J701" s="12" t="s">
        <v>159</v>
      </c>
      <c r="K701" s="12" t="s">
        <v>19</v>
      </c>
      <c r="L701" s="12" t="s">
        <v>87</v>
      </c>
      <c r="M701" s="11" t="s">
        <v>88</v>
      </c>
    </row>
    <row r="702" customFormat="false" ht="28.35" hidden="false" customHeight="false" outlineLevel="0" collapsed="false">
      <c r="A702" s="11" t="s">
        <v>1410</v>
      </c>
      <c r="B702" s="12" t="s">
        <v>54</v>
      </c>
      <c r="C702" s="12" t="s">
        <v>53</v>
      </c>
      <c r="D702" s="12" t="n">
        <v>91</v>
      </c>
      <c r="E702" s="12" t="s">
        <v>1409</v>
      </c>
      <c r="F702" s="12" t="s">
        <v>132</v>
      </c>
      <c r="G702" s="12" t="s">
        <v>1411</v>
      </c>
      <c r="H702" s="12" t="s">
        <v>1255</v>
      </c>
      <c r="I702" s="12" t="s">
        <v>164</v>
      </c>
      <c r="J702" s="12" t="s">
        <v>165</v>
      </c>
      <c r="K702" s="12" t="s">
        <v>16</v>
      </c>
      <c r="L702" s="12" t="s">
        <v>87</v>
      </c>
      <c r="M702" s="11" t="s">
        <v>88</v>
      </c>
    </row>
    <row r="703" customFormat="false" ht="41.75" hidden="false" customHeight="false" outlineLevel="0" collapsed="false">
      <c r="A703" s="11" t="s">
        <v>1412</v>
      </c>
      <c r="B703" s="12" t="s">
        <v>54</v>
      </c>
      <c r="C703" s="12" t="s">
        <v>53</v>
      </c>
      <c r="D703" s="12" t="n">
        <v>92</v>
      </c>
      <c r="E703" s="12" t="s">
        <v>1409</v>
      </c>
      <c r="F703" s="12" t="s">
        <v>132</v>
      </c>
      <c r="G703" s="12" t="s">
        <v>1413</v>
      </c>
      <c r="H703" s="12" t="s">
        <v>1255</v>
      </c>
      <c r="I703" s="12" t="s">
        <v>168</v>
      </c>
      <c r="J703" s="12" t="s">
        <v>169</v>
      </c>
      <c r="K703" s="12" t="s">
        <v>31</v>
      </c>
      <c r="L703" s="12" t="s">
        <v>96</v>
      </c>
      <c r="M703" s="11" t="s">
        <v>170</v>
      </c>
    </row>
    <row r="704" customFormat="false" ht="28.35" hidden="false" customHeight="false" outlineLevel="0" collapsed="false">
      <c r="A704" s="11" t="s">
        <v>1414</v>
      </c>
      <c r="B704" s="12" t="s">
        <v>54</v>
      </c>
      <c r="C704" s="12" t="s">
        <v>53</v>
      </c>
      <c r="D704" s="12" t="n">
        <v>93</v>
      </c>
      <c r="E704" s="12" t="s">
        <v>1409</v>
      </c>
      <c r="F704" s="12" t="s">
        <v>132</v>
      </c>
      <c r="G704" s="12" t="s">
        <v>1415</v>
      </c>
      <c r="H704" s="12" t="s">
        <v>1255</v>
      </c>
      <c r="I704" s="12" t="s">
        <v>164</v>
      </c>
      <c r="J704" s="12" t="s">
        <v>165</v>
      </c>
      <c r="K704" s="12" t="s">
        <v>16</v>
      </c>
      <c r="L704" s="12" t="s">
        <v>87</v>
      </c>
      <c r="M704" s="11" t="s">
        <v>88</v>
      </c>
    </row>
    <row r="705" customFormat="false" ht="28.35" hidden="false" customHeight="false" outlineLevel="0" collapsed="false">
      <c r="A705" s="11" t="s">
        <v>1416</v>
      </c>
      <c r="B705" s="12" t="s">
        <v>54</v>
      </c>
      <c r="C705" s="12" t="s">
        <v>53</v>
      </c>
      <c r="D705" s="12" t="n">
        <v>94</v>
      </c>
      <c r="E705" s="12" t="s">
        <v>1409</v>
      </c>
      <c r="F705" s="12" t="s">
        <v>132</v>
      </c>
      <c r="G705" s="12" t="s">
        <v>1417</v>
      </c>
      <c r="H705" s="12" t="s">
        <v>1255</v>
      </c>
      <c r="I705" s="12" t="s">
        <v>164</v>
      </c>
      <c r="J705" s="12" t="s">
        <v>165</v>
      </c>
      <c r="K705" s="12" t="s">
        <v>16</v>
      </c>
      <c r="L705" s="12" t="s">
        <v>87</v>
      </c>
      <c r="M705" s="11" t="s">
        <v>88</v>
      </c>
    </row>
    <row r="706" customFormat="false" ht="28.35" hidden="false" customHeight="false" outlineLevel="0" collapsed="false">
      <c r="A706" s="11" t="s">
        <v>1418</v>
      </c>
      <c r="B706" s="12" t="s">
        <v>54</v>
      </c>
      <c r="C706" s="12" t="s">
        <v>53</v>
      </c>
      <c r="D706" s="12" t="n">
        <v>95</v>
      </c>
      <c r="E706" s="12" t="s">
        <v>1409</v>
      </c>
      <c r="F706" s="12" t="s">
        <v>98</v>
      </c>
      <c r="G706" s="12" t="s">
        <v>1419</v>
      </c>
      <c r="H706" s="12" t="s">
        <v>1255</v>
      </c>
      <c r="I706" s="12" t="s">
        <v>175</v>
      </c>
      <c r="J706" s="12" t="s">
        <v>176</v>
      </c>
      <c r="K706" s="12" t="s">
        <v>22</v>
      </c>
      <c r="L706" s="12" t="s">
        <v>96</v>
      </c>
      <c r="M706" s="11" t="s">
        <v>88</v>
      </c>
    </row>
    <row r="707" customFormat="false" ht="28.35" hidden="false" customHeight="false" outlineLevel="0" collapsed="false">
      <c r="A707" s="11" t="s">
        <v>1420</v>
      </c>
      <c r="B707" s="12" t="s">
        <v>54</v>
      </c>
      <c r="C707" s="12" t="s">
        <v>53</v>
      </c>
      <c r="D707" s="12" t="n">
        <v>96</v>
      </c>
      <c r="E707" s="12" t="s">
        <v>1409</v>
      </c>
      <c r="F707" s="12" t="s">
        <v>132</v>
      </c>
      <c r="G707" s="12" t="s">
        <v>385</v>
      </c>
      <c r="H707" s="12" t="s">
        <v>1255</v>
      </c>
      <c r="I707" s="12" t="s">
        <v>164</v>
      </c>
      <c r="J707" s="12" t="s">
        <v>165</v>
      </c>
      <c r="K707" s="12" t="s">
        <v>16</v>
      </c>
      <c r="L707" s="12" t="s">
        <v>87</v>
      </c>
      <c r="M707" s="11" t="s">
        <v>88</v>
      </c>
    </row>
    <row r="708" customFormat="false" ht="55.2" hidden="false" customHeight="false" outlineLevel="0" collapsed="false">
      <c r="A708" s="11" t="s">
        <v>1421</v>
      </c>
      <c r="B708" s="12" t="s">
        <v>54</v>
      </c>
      <c r="C708" s="12" t="s">
        <v>53</v>
      </c>
      <c r="D708" s="12" t="n">
        <v>97</v>
      </c>
      <c r="E708" s="12" t="s">
        <v>1409</v>
      </c>
      <c r="F708" s="12" t="s">
        <v>98</v>
      </c>
      <c r="G708" s="12" t="s">
        <v>1422</v>
      </c>
      <c r="H708" s="12" t="s">
        <v>1255</v>
      </c>
      <c r="I708" s="12" t="s">
        <v>175</v>
      </c>
      <c r="J708" s="12" t="s">
        <v>176</v>
      </c>
      <c r="K708" s="12" t="s">
        <v>22</v>
      </c>
      <c r="L708" s="12" t="s">
        <v>96</v>
      </c>
      <c r="M708" s="11" t="s">
        <v>88</v>
      </c>
    </row>
    <row r="709" customFormat="false" ht="28.35" hidden="false" customHeight="false" outlineLevel="0" collapsed="false">
      <c r="A709" s="11" t="s">
        <v>1423</v>
      </c>
      <c r="B709" s="12" t="s">
        <v>54</v>
      </c>
      <c r="C709" s="12" t="s">
        <v>53</v>
      </c>
      <c r="D709" s="12" t="n">
        <v>98</v>
      </c>
      <c r="E709" s="12" t="s">
        <v>410</v>
      </c>
      <c r="F709" s="12" t="s">
        <v>82</v>
      </c>
      <c r="G709" s="12" t="s">
        <v>410</v>
      </c>
      <c r="H709" s="12" t="s">
        <v>1255</v>
      </c>
      <c r="I709" s="12" t="s">
        <v>411</v>
      </c>
      <c r="J709" s="12" t="s">
        <v>412</v>
      </c>
      <c r="K709" s="12" t="s">
        <v>413</v>
      </c>
      <c r="L709" s="12" t="s">
        <v>87</v>
      </c>
      <c r="M709" s="11" t="s">
        <v>88</v>
      </c>
    </row>
    <row r="710" customFormat="false" ht="28.35" hidden="false" customHeight="false" outlineLevel="0" collapsed="false">
      <c r="A710" s="11" t="s">
        <v>1424</v>
      </c>
      <c r="B710" s="12" t="s">
        <v>54</v>
      </c>
      <c r="C710" s="12" t="s">
        <v>53</v>
      </c>
      <c r="D710" s="12" t="n">
        <v>99</v>
      </c>
      <c r="E710" s="12" t="s">
        <v>410</v>
      </c>
      <c r="F710" s="12" t="s">
        <v>132</v>
      </c>
      <c r="G710" s="12" t="s">
        <v>1425</v>
      </c>
      <c r="H710" s="12" t="s">
        <v>1255</v>
      </c>
      <c r="I710" s="12" t="s">
        <v>411</v>
      </c>
      <c r="J710" s="12" t="s">
        <v>412</v>
      </c>
      <c r="K710" s="12" t="s">
        <v>413</v>
      </c>
      <c r="L710" s="12" t="s">
        <v>87</v>
      </c>
      <c r="M710" s="11" t="s">
        <v>88</v>
      </c>
    </row>
    <row r="711" customFormat="false" ht="28.35" hidden="false" customHeight="false" outlineLevel="0" collapsed="false">
      <c r="A711" s="11" t="s">
        <v>1426</v>
      </c>
      <c r="B711" s="12" t="s">
        <v>54</v>
      </c>
      <c r="C711" s="12" t="s">
        <v>53</v>
      </c>
      <c r="D711" s="12" t="n">
        <v>100</v>
      </c>
      <c r="E711" s="12" t="s">
        <v>410</v>
      </c>
      <c r="F711" s="12" t="s">
        <v>132</v>
      </c>
      <c r="G711" s="12" t="s">
        <v>1427</v>
      </c>
      <c r="H711" s="12" t="s">
        <v>1255</v>
      </c>
      <c r="I711" s="12" t="s">
        <v>411</v>
      </c>
      <c r="J711" s="12" t="s">
        <v>412</v>
      </c>
      <c r="K711" s="12" t="s">
        <v>413</v>
      </c>
      <c r="L711" s="12" t="s">
        <v>87</v>
      </c>
      <c r="M711" s="11" t="s">
        <v>88</v>
      </c>
    </row>
    <row r="712" customFormat="false" ht="28.35" hidden="false" customHeight="false" outlineLevel="0" collapsed="false">
      <c r="A712" s="11" t="s">
        <v>1428</v>
      </c>
      <c r="B712" s="12" t="s">
        <v>54</v>
      </c>
      <c r="C712" s="12" t="s">
        <v>53</v>
      </c>
      <c r="D712" s="12" t="n">
        <v>101</v>
      </c>
      <c r="E712" s="12" t="s">
        <v>410</v>
      </c>
      <c r="F712" s="12" t="s">
        <v>98</v>
      </c>
      <c r="G712" s="12" t="s">
        <v>1429</v>
      </c>
      <c r="H712" s="12" t="s">
        <v>1255</v>
      </c>
      <c r="I712" s="12" t="s">
        <v>411</v>
      </c>
      <c r="J712" s="12" t="s">
        <v>412</v>
      </c>
      <c r="K712" s="12" t="s">
        <v>413</v>
      </c>
      <c r="L712" s="12" t="s">
        <v>87</v>
      </c>
      <c r="M712" s="11" t="s">
        <v>88</v>
      </c>
    </row>
    <row r="713" customFormat="false" ht="28.35" hidden="false" customHeight="false" outlineLevel="0" collapsed="false">
      <c r="A713" s="11" t="s">
        <v>1430</v>
      </c>
      <c r="B713" s="12" t="s">
        <v>54</v>
      </c>
      <c r="C713" s="12" t="s">
        <v>53</v>
      </c>
      <c r="D713" s="12" t="n">
        <v>102</v>
      </c>
      <c r="E713" s="12" t="s">
        <v>410</v>
      </c>
      <c r="F713" s="12" t="s">
        <v>98</v>
      </c>
      <c r="G713" s="12" t="s">
        <v>1431</v>
      </c>
      <c r="H713" s="12" t="s">
        <v>1255</v>
      </c>
      <c r="I713" s="12" t="s">
        <v>411</v>
      </c>
      <c r="J713" s="12" t="s">
        <v>412</v>
      </c>
      <c r="K713" s="12" t="s">
        <v>413</v>
      </c>
      <c r="L713" s="12" t="s">
        <v>87</v>
      </c>
      <c r="M713" s="11" t="s">
        <v>88</v>
      </c>
    </row>
    <row r="714" customFormat="false" ht="28.35" hidden="false" customHeight="false" outlineLevel="0" collapsed="false">
      <c r="A714" s="11" t="s">
        <v>1432</v>
      </c>
      <c r="B714" s="12" t="s">
        <v>54</v>
      </c>
      <c r="C714" s="12" t="s">
        <v>53</v>
      </c>
      <c r="D714" s="12" t="n">
        <v>103</v>
      </c>
      <c r="E714" s="12" t="s">
        <v>410</v>
      </c>
      <c r="F714" s="12" t="s">
        <v>98</v>
      </c>
      <c r="G714" s="12" t="s">
        <v>1433</v>
      </c>
      <c r="H714" s="12" t="s">
        <v>1255</v>
      </c>
      <c r="I714" s="12" t="s">
        <v>411</v>
      </c>
      <c r="J714" s="12" t="s">
        <v>412</v>
      </c>
      <c r="K714" s="12" t="s">
        <v>413</v>
      </c>
      <c r="L714" s="12" t="s">
        <v>87</v>
      </c>
      <c r="M714" s="11" t="s">
        <v>88</v>
      </c>
    </row>
    <row r="715" customFormat="false" ht="28.35" hidden="false" customHeight="false" outlineLevel="0" collapsed="false">
      <c r="A715" s="11" t="s">
        <v>1434</v>
      </c>
      <c r="B715" s="12" t="s">
        <v>54</v>
      </c>
      <c r="C715" s="12" t="s">
        <v>53</v>
      </c>
      <c r="D715" s="12" t="n">
        <v>104</v>
      </c>
      <c r="E715" s="12" t="s">
        <v>410</v>
      </c>
      <c r="F715" s="12" t="s">
        <v>98</v>
      </c>
      <c r="G715" s="12" t="s">
        <v>1435</v>
      </c>
      <c r="H715" s="12" t="s">
        <v>1255</v>
      </c>
      <c r="I715" s="12" t="s">
        <v>411</v>
      </c>
      <c r="J715" s="12" t="s">
        <v>412</v>
      </c>
      <c r="K715" s="12" t="s">
        <v>413</v>
      </c>
      <c r="L715" s="12" t="s">
        <v>87</v>
      </c>
      <c r="M715" s="11" t="s">
        <v>88</v>
      </c>
    </row>
    <row r="716" customFormat="false" ht="28.35" hidden="false" customHeight="false" outlineLevel="0" collapsed="false">
      <c r="A716" s="11" t="s">
        <v>1436</v>
      </c>
      <c r="B716" s="12" t="s">
        <v>54</v>
      </c>
      <c r="C716" s="12" t="s">
        <v>53</v>
      </c>
      <c r="D716" s="12" t="n">
        <v>105</v>
      </c>
      <c r="E716" s="12" t="s">
        <v>410</v>
      </c>
      <c r="F716" s="12" t="s">
        <v>132</v>
      </c>
      <c r="G716" s="12" t="s">
        <v>1437</v>
      </c>
      <c r="H716" s="12" t="s">
        <v>1255</v>
      </c>
      <c r="I716" s="12" t="s">
        <v>411</v>
      </c>
      <c r="J716" s="12" t="s">
        <v>412</v>
      </c>
      <c r="K716" s="12" t="s">
        <v>413</v>
      </c>
      <c r="L716" s="12" t="s">
        <v>87</v>
      </c>
      <c r="M716" s="11" t="s">
        <v>88</v>
      </c>
    </row>
    <row r="717" customFormat="false" ht="28.35" hidden="false" customHeight="false" outlineLevel="0" collapsed="false">
      <c r="A717" s="11" t="s">
        <v>1438</v>
      </c>
      <c r="B717" s="12" t="s">
        <v>54</v>
      </c>
      <c r="C717" s="12" t="s">
        <v>53</v>
      </c>
      <c r="D717" s="12" t="n">
        <v>106</v>
      </c>
      <c r="E717" s="12" t="s">
        <v>410</v>
      </c>
      <c r="F717" s="12" t="s">
        <v>132</v>
      </c>
      <c r="G717" s="12" t="s">
        <v>1439</v>
      </c>
      <c r="H717" s="12" t="s">
        <v>1255</v>
      </c>
      <c r="I717" s="12" t="s">
        <v>411</v>
      </c>
      <c r="J717" s="12" t="s">
        <v>412</v>
      </c>
      <c r="K717" s="12" t="s">
        <v>413</v>
      </c>
      <c r="L717" s="12" t="s">
        <v>87</v>
      </c>
      <c r="M717" s="11" t="s">
        <v>88</v>
      </c>
    </row>
    <row r="718" customFormat="false" ht="28.35" hidden="false" customHeight="false" outlineLevel="0" collapsed="false">
      <c r="A718" s="11" t="s">
        <v>1440</v>
      </c>
      <c r="B718" s="12" t="s">
        <v>54</v>
      </c>
      <c r="C718" s="12" t="s">
        <v>53</v>
      </c>
      <c r="D718" s="12" t="n">
        <v>107</v>
      </c>
      <c r="E718" s="12" t="s">
        <v>410</v>
      </c>
      <c r="F718" s="12" t="s">
        <v>132</v>
      </c>
      <c r="G718" s="12" t="s">
        <v>1441</v>
      </c>
      <c r="H718" s="12" t="s">
        <v>1255</v>
      </c>
      <c r="I718" s="12" t="s">
        <v>411</v>
      </c>
      <c r="J718" s="12" t="s">
        <v>412</v>
      </c>
      <c r="K718" s="12" t="s">
        <v>413</v>
      </c>
      <c r="L718" s="12" t="s">
        <v>87</v>
      </c>
      <c r="M718" s="11" t="s">
        <v>88</v>
      </c>
    </row>
    <row r="719" customFormat="false" ht="28.35" hidden="false" customHeight="false" outlineLevel="0" collapsed="false">
      <c r="A719" s="11" t="s">
        <v>1442</v>
      </c>
      <c r="B719" s="12" t="s">
        <v>54</v>
      </c>
      <c r="C719" s="12" t="s">
        <v>53</v>
      </c>
      <c r="D719" s="12" t="n">
        <v>108</v>
      </c>
      <c r="E719" s="12" t="s">
        <v>410</v>
      </c>
      <c r="F719" s="12" t="s">
        <v>132</v>
      </c>
      <c r="G719" s="12" t="s">
        <v>1443</v>
      </c>
      <c r="H719" s="12" t="s">
        <v>1255</v>
      </c>
      <c r="I719" s="12" t="s">
        <v>411</v>
      </c>
      <c r="J719" s="12" t="s">
        <v>412</v>
      </c>
      <c r="K719" s="12" t="s">
        <v>413</v>
      </c>
      <c r="L719" s="12" t="s">
        <v>87</v>
      </c>
      <c r="M719" s="11" t="s">
        <v>88</v>
      </c>
    </row>
    <row r="720" customFormat="false" ht="28.35" hidden="false" customHeight="false" outlineLevel="0" collapsed="false">
      <c r="A720" s="11" t="s">
        <v>1444</v>
      </c>
      <c r="B720" s="12" t="s">
        <v>54</v>
      </c>
      <c r="C720" s="12" t="s">
        <v>53</v>
      </c>
      <c r="D720" s="12" t="n">
        <v>109</v>
      </c>
      <c r="E720" s="12" t="s">
        <v>410</v>
      </c>
      <c r="F720" s="12" t="s">
        <v>132</v>
      </c>
      <c r="G720" s="12" t="s">
        <v>1445</v>
      </c>
      <c r="H720" s="12" t="s">
        <v>1255</v>
      </c>
      <c r="I720" s="12" t="s">
        <v>411</v>
      </c>
      <c r="J720" s="12" t="s">
        <v>412</v>
      </c>
      <c r="K720" s="12" t="s">
        <v>413</v>
      </c>
      <c r="L720" s="12" t="s">
        <v>87</v>
      </c>
      <c r="M720" s="11" t="s">
        <v>88</v>
      </c>
    </row>
    <row r="721" customFormat="false" ht="28.35" hidden="false" customHeight="false" outlineLevel="0" collapsed="false">
      <c r="A721" s="11" t="s">
        <v>1446</v>
      </c>
      <c r="B721" s="12" t="s">
        <v>54</v>
      </c>
      <c r="C721" s="12" t="s">
        <v>53</v>
      </c>
      <c r="D721" s="12" t="n">
        <v>110</v>
      </c>
      <c r="E721" s="12" t="s">
        <v>410</v>
      </c>
      <c r="F721" s="12" t="s">
        <v>132</v>
      </c>
      <c r="G721" s="12" t="s">
        <v>1447</v>
      </c>
      <c r="H721" s="12" t="s">
        <v>1255</v>
      </c>
      <c r="I721" s="12" t="s">
        <v>411</v>
      </c>
      <c r="J721" s="12" t="s">
        <v>412</v>
      </c>
      <c r="K721" s="12" t="s">
        <v>413</v>
      </c>
      <c r="L721" s="12" t="s">
        <v>87</v>
      </c>
      <c r="M721" s="11" t="s">
        <v>88</v>
      </c>
    </row>
    <row r="722" customFormat="false" ht="28.35" hidden="false" customHeight="false" outlineLevel="0" collapsed="false">
      <c r="A722" s="11" t="s">
        <v>1448</v>
      </c>
      <c r="B722" s="12" t="s">
        <v>54</v>
      </c>
      <c r="C722" s="12" t="s">
        <v>53</v>
      </c>
      <c r="D722" s="12" t="n">
        <v>111</v>
      </c>
      <c r="E722" s="12" t="s">
        <v>410</v>
      </c>
      <c r="F722" s="12" t="s">
        <v>132</v>
      </c>
      <c r="G722" s="12" t="s">
        <v>1439</v>
      </c>
      <c r="H722" s="12" t="s">
        <v>1255</v>
      </c>
      <c r="I722" s="12" t="s">
        <v>411</v>
      </c>
      <c r="J722" s="12" t="s">
        <v>412</v>
      </c>
      <c r="K722" s="12" t="s">
        <v>413</v>
      </c>
      <c r="L722" s="12" t="s">
        <v>87</v>
      </c>
      <c r="M722" s="11" t="s">
        <v>88</v>
      </c>
    </row>
    <row r="723" customFormat="false" ht="28.35" hidden="false" customHeight="false" outlineLevel="0" collapsed="false">
      <c r="A723" s="11" t="s">
        <v>1449</v>
      </c>
      <c r="B723" s="12" t="s">
        <v>54</v>
      </c>
      <c r="C723" s="12" t="s">
        <v>53</v>
      </c>
      <c r="D723" s="12" t="n">
        <v>112</v>
      </c>
      <c r="E723" s="12" t="s">
        <v>410</v>
      </c>
      <c r="F723" s="12" t="s">
        <v>132</v>
      </c>
      <c r="G723" s="12" t="s">
        <v>1450</v>
      </c>
      <c r="H723" s="12" t="s">
        <v>1255</v>
      </c>
      <c r="I723" s="12" t="s">
        <v>411</v>
      </c>
      <c r="J723" s="12" t="s">
        <v>412</v>
      </c>
      <c r="K723" s="12" t="s">
        <v>413</v>
      </c>
      <c r="L723" s="12" t="s">
        <v>87</v>
      </c>
      <c r="M723" s="11" t="s">
        <v>88</v>
      </c>
    </row>
    <row r="724" customFormat="false" ht="28.35" hidden="false" customHeight="false" outlineLevel="0" collapsed="false">
      <c r="A724" s="11" t="s">
        <v>1451</v>
      </c>
      <c r="B724" s="12" t="s">
        <v>54</v>
      </c>
      <c r="C724" s="12" t="s">
        <v>53</v>
      </c>
      <c r="D724" s="12" t="n">
        <v>113</v>
      </c>
      <c r="E724" s="12" t="s">
        <v>410</v>
      </c>
      <c r="F724" s="12" t="s">
        <v>132</v>
      </c>
      <c r="G724" s="12" t="s">
        <v>1452</v>
      </c>
      <c r="H724" s="12" t="s">
        <v>1255</v>
      </c>
      <c r="I724" s="12" t="s">
        <v>411</v>
      </c>
      <c r="J724" s="12" t="s">
        <v>412</v>
      </c>
      <c r="K724" s="12" t="s">
        <v>413</v>
      </c>
      <c r="L724" s="12" t="s">
        <v>87</v>
      </c>
      <c r="M724" s="11" t="s">
        <v>88</v>
      </c>
    </row>
    <row r="725" customFormat="false" ht="28.35" hidden="false" customHeight="false" outlineLevel="0" collapsed="false">
      <c r="A725" s="11" t="s">
        <v>1453</v>
      </c>
      <c r="B725" s="12" t="s">
        <v>54</v>
      </c>
      <c r="C725" s="12" t="s">
        <v>53</v>
      </c>
      <c r="D725" s="12" t="n">
        <v>114</v>
      </c>
      <c r="E725" s="12" t="s">
        <v>410</v>
      </c>
      <c r="F725" s="12" t="s">
        <v>132</v>
      </c>
      <c r="G725" s="12" t="s">
        <v>1445</v>
      </c>
      <c r="H725" s="12" t="s">
        <v>1255</v>
      </c>
      <c r="I725" s="12" t="s">
        <v>411</v>
      </c>
      <c r="J725" s="12" t="s">
        <v>412</v>
      </c>
      <c r="K725" s="12" t="s">
        <v>413</v>
      </c>
      <c r="L725" s="12" t="s">
        <v>87</v>
      </c>
      <c r="M725" s="11" t="s">
        <v>88</v>
      </c>
    </row>
    <row r="726" customFormat="false" ht="41.75" hidden="false" customHeight="false" outlineLevel="0" collapsed="false">
      <c r="A726" s="11" t="s">
        <v>1454</v>
      </c>
      <c r="B726" s="12" t="s">
        <v>54</v>
      </c>
      <c r="C726" s="12" t="s">
        <v>53</v>
      </c>
      <c r="D726" s="12" t="n">
        <v>115</v>
      </c>
      <c r="E726" s="12" t="s">
        <v>410</v>
      </c>
      <c r="F726" s="12" t="s">
        <v>132</v>
      </c>
      <c r="G726" s="12" t="s">
        <v>1455</v>
      </c>
      <c r="H726" s="12" t="s">
        <v>1255</v>
      </c>
      <c r="I726" s="12" t="s">
        <v>411</v>
      </c>
      <c r="J726" s="12" t="s">
        <v>412</v>
      </c>
      <c r="K726" s="12" t="s">
        <v>413</v>
      </c>
      <c r="L726" s="12" t="s">
        <v>87</v>
      </c>
      <c r="M726" s="11" t="s">
        <v>88</v>
      </c>
    </row>
    <row r="727" customFormat="false" ht="28.35" hidden="false" customHeight="false" outlineLevel="0" collapsed="false">
      <c r="A727" s="11" t="s">
        <v>1456</v>
      </c>
      <c r="B727" s="12" t="s">
        <v>54</v>
      </c>
      <c r="C727" s="12" t="s">
        <v>53</v>
      </c>
      <c r="D727" s="12" t="n">
        <v>116</v>
      </c>
      <c r="E727" s="12" t="s">
        <v>410</v>
      </c>
      <c r="F727" s="12" t="s">
        <v>132</v>
      </c>
      <c r="G727" s="12" t="s">
        <v>1439</v>
      </c>
      <c r="H727" s="12" t="s">
        <v>1255</v>
      </c>
      <c r="I727" s="12" t="s">
        <v>411</v>
      </c>
      <c r="J727" s="12" t="s">
        <v>412</v>
      </c>
      <c r="K727" s="12" t="s">
        <v>413</v>
      </c>
      <c r="L727" s="12" t="s">
        <v>87</v>
      </c>
      <c r="M727" s="11" t="s">
        <v>88</v>
      </c>
    </row>
    <row r="728" customFormat="false" ht="28.35" hidden="false" customHeight="false" outlineLevel="0" collapsed="false">
      <c r="A728" s="11" t="s">
        <v>1457</v>
      </c>
      <c r="B728" s="12" t="s">
        <v>54</v>
      </c>
      <c r="C728" s="12" t="s">
        <v>53</v>
      </c>
      <c r="D728" s="12" t="n">
        <v>117</v>
      </c>
      <c r="E728" s="12" t="s">
        <v>410</v>
      </c>
      <c r="F728" s="12" t="s">
        <v>132</v>
      </c>
      <c r="G728" s="12" t="s">
        <v>1450</v>
      </c>
      <c r="H728" s="12" t="s">
        <v>1255</v>
      </c>
      <c r="I728" s="12" t="s">
        <v>411</v>
      </c>
      <c r="J728" s="12" t="s">
        <v>412</v>
      </c>
      <c r="K728" s="12" t="s">
        <v>413</v>
      </c>
      <c r="L728" s="12" t="s">
        <v>87</v>
      </c>
      <c r="M728" s="11" t="s">
        <v>88</v>
      </c>
    </row>
    <row r="729" customFormat="false" ht="28.35" hidden="false" customHeight="false" outlineLevel="0" collapsed="false">
      <c r="A729" s="11" t="s">
        <v>1458</v>
      </c>
      <c r="B729" s="12" t="s">
        <v>54</v>
      </c>
      <c r="C729" s="12" t="s">
        <v>53</v>
      </c>
      <c r="D729" s="12" t="n">
        <v>118</v>
      </c>
      <c r="E729" s="12" t="s">
        <v>410</v>
      </c>
      <c r="F729" s="12" t="s">
        <v>132</v>
      </c>
      <c r="G729" s="12" t="s">
        <v>1443</v>
      </c>
      <c r="H729" s="12" t="s">
        <v>1255</v>
      </c>
      <c r="I729" s="12" t="s">
        <v>411</v>
      </c>
      <c r="J729" s="12" t="s">
        <v>412</v>
      </c>
      <c r="K729" s="12" t="s">
        <v>413</v>
      </c>
      <c r="L729" s="12" t="s">
        <v>87</v>
      </c>
      <c r="M729" s="11" t="s">
        <v>88</v>
      </c>
    </row>
    <row r="730" customFormat="false" ht="28.35" hidden="false" customHeight="false" outlineLevel="0" collapsed="false">
      <c r="A730" s="11" t="s">
        <v>1459</v>
      </c>
      <c r="B730" s="12" t="s">
        <v>54</v>
      </c>
      <c r="C730" s="12" t="s">
        <v>53</v>
      </c>
      <c r="D730" s="12" t="n">
        <v>119</v>
      </c>
      <c r="E730" s="12" t="s">
        <v>410</v>
      </c>
      <c r="F730" s="12" t="s">
        <v>132</v>
      </c>
      <c r="G730" s="12" t="s">
        <v>1460</v>
      </c>
      <c r="H730" s="12" t="s">
        <v>1255</v>
      </c>
      <c r="I730" s="12" t="s">
        <v>411</v>
      </c>
      <c r="J730" s="12" t="s">
        <v>412</v>
      </c>
      <c r="K730" s="12" t="s">
        <v>413</v>
      </c>
      <c r="L730" s="12" t="s">
        <v>87</v>
      </c>
      <c r="M730" s="11" t="s">
        <v>88</v>
      </c>
    </row>
    <row r="731" customFormat="false" ht="41.75" hidden="false" customHeight="false" outlineLevel="0" collapsed="false">
      <c r="A731" s="11" t="s">
        <v>1461</v>
      </c>
      <c r="B731" s="12" t="s">
        <v>54</v>
      </c>
      <c r="C731" s="12" t="s">
        <v>53</v>
      </c>
      <c r="D731" s="12" t="n">
        <v>120</v>
      </c>
      <c r="E731" s="12" t="s">
        <v>410</v>
      </c>
      <c r="F731" s="12" t="s">
        <v>132</v>
      </c>
      <c r="G731" s="12" t="s">
        <v>1462</v>
      </c>
      <c r="H731" s="12" t="s">
        <v>1255</v>
      </c>
      <c r="I731" s="12" t="s">
        <v>411</v>
      </c>
      <c r="J731" s="12" t="s">
        <v>412</v>
      </c>
      <c r="K731" s="12" t="s">
        <v>413</v>
      </c>
      <c r="L731" s="12" t="s">
        <v>87</v>
      </c>
      <c r="M731" s="11" t="s">
        <v>88</v>
      </c>
    </row>
    <row r="732" customFormat="false" ht="28.35" hidden="false" customHeight="false" outlineLevel="0" collapsed="false">
      <c r="A732" s="11" t="s">
        <v>1463</v>
      </c>
      <c r="B732" s="12" t="s">
        <v>54</v>
      </c>
      <c r="C732" s="12" t="s">
        <v>53</v>
      </c>
      <c r="D732" s="12" t="n">
        <v>121</v>
      </c>
      <c r="E732" s="12" t="s">
        <v>410</v>
      </c>
      <c r="F732" s="12" t="s">
        <v>132</v>
      </c>
      <c r="G732" s="12" t="s">
        <v>1439</v>
      </c>
      <c r="H732" s="12" t="s">
        <v>1255</v>
      </c>
      <c r="I732" s="12" t="s">
        <v>411</v>
      </c>
      <c r="J732" s="12" t="s">
        <v>412</v>
      </c>
      <c r="K732" s="12" t="s">
        <v>413</v>
      </c>
      <c r="L732" s="12" t="s">
        <v>87</v>
      </c>
      <c r="M732" s="11" t="s">
        <v>88</v>
      </c>
    </row>
    <row r="733" customFormat="false" ht="28.35" hidden="false" customHeight="false" outlineLevel="0" collapsed="false">
      <c r="A733" s="11" t="s">
        <v>1464</v>
      </c>
      <c r="B733" s="12" t="s">
        <v>54</v>
      </c>
      <c r="C733" s="12" t="s">
        <v>53</v>
      </c>
      <c r="D733" s="12" t="n">
        <v>122</v>
      </c>
      <c r="E733" s="12" t="s">
        <v>410</v>
      </c>
      <c r="F733" s="12" t="s">
        <v>132</v>
      </c>
      <c r="G733" s="12" t="s">
        <v>1450</v>
      </c>
      <c r="H733" s="12" t="s">
        <v>1255</v>
      </c>
      <c r="I733" s="12" t="s">
        <v>411</v>
      </c>
      <c r="J733" s="12" t="s">
        <v>412</v>
      </c>
      <c r="K733" s="12" t="s">
        <v>413</v>
      </c>
      <c r="L733" s="12" t="s">
        <v>87</v>
      </c>
      <c r="M733" s="11" t="s">
        <v>88</v>
      </c>
    </row>
    <row r="734" customFormat="false" ht="28.35" hidden="false" customHeight="false" outlineLevel="0" collapsed="false">
      <c r="A734" s="11" t="s">
        <v>1465</v>
      </c>
      <c r="B734" s="12" t="s">
        <v>54</v>
      </c>
      <c r="C734" s="12" t="s">
        <v>53</v>
      </c>
      <c r="D734" s="12" t="n">
        <v>123</v>
      </c>
      <c r="E734" s="12" t="s">
        <v>410</v>
      </c>
      <c r="F734" s="12" t="s">
        <v>132</v>
      </c>
      <c r="G734" s="12" t="s">
        <v>1466</v>
      </c>
      <c r="H734" s="12" t="s">
        <v>1255</v>
      </c>
      <c r="I734" s="12" t="s">
        <v>411</v>
      </c>
      <c r="J734" s="12" t="s">
        <v>412</v>
      </c>
      <c r="K734" s="12" t="s">
        <v>413</v>
      </c>
      <c r="L734" s="12" t="s">
        <v>87</v>
      </c>
      <c r="M734" s="11" t="s">
        <v>88</v>
      </c>
    </row>
    <row r="735" customFormat="false" ht="28.35" hidden="false" customHeight="false" outlineLevel="0" collapsed="false">
      <c r="A735" s="11" t="s">
        <v>1467</v>
      </c>
      <c r="B735" s="12" t="s">
        <v>54</v>
      </c>
      <c r="C735" s="12" t="s">
        <v>53</v>
      </c>
      <c r="D735" s="12" t="n">
        <v>124</v>
      </c>
      <c r="E735" s="12" t="s">
        <v>410</v>
      </c>
      <c r="F735" s="12" t="s">
        <v>132</v>
      </c>
      <c r="G735" s="12" t="s">
        <v>1445</v>
      </c>
      <c r="H735" s="12" t="s">
        <v>1255</v>
      </c>
      <c r="I735" s="12" t="s">
        <v>411</v>
      </c>
      <c r="J735" s="12" t="s">
        <v>412</v>
      </c>
      <c r="K735" s="12" t="s">
        <v>413</v>
      </c>
      <c r="L735" s="12" t="s">
        <v>87</v>
      </c>
      <c r="M735" s="11" t="s">
        <v>88</v>
      </c>
    </row>
    <row r="736" customFormat="false" ht="28.35" hidden="false" customHeight="false" outlineLevel="0" collapsed="false">
      <c r="A736" s="11" t="s">
        <v>1468</v>
      </c>
      <c r="B736" s="12" t="s">
        <v>54</v>
      </c>
      <c r="C736" s="12" t="s">
        <v>53</v>
      </c>
      <c r="D736" s="12" t="n">
        <v>125</v>
      </c>
      <c r="E736" s="12" t="s">
        <v>447</v>
      </c>
      <c r="F736" s="12" t="s">
        <v>82</v>
      </c>
      <c r="G736" s="12" t="s">
        <v>447</v>
      </c>
      <c r="H736" s="12" t="s">
        <v>1255</v>
      </c>
      <c r="I736" s="12" t="s">
        <v>158</v>
      </c>
      <c r="J736" s="12" t="s">
        <v>159</v>
      </c>
      <c r="K736" s="12" t="s">
        <v>19</v>
      </c>
      <c r="L736" s="12" t="s">
        <v>87</v>
      </c>
      <c r="M736" s="11" t="s">
        <v>88</v>
      </c>
    </row>
    <row r="737" customFormat="false" ht="28.35" hidden="false" customHeight="false" outlineLevel="0" collapsed="false">
      <c r="A737" s="11" t="s">
        <v>1469</v>
      </c>
      <c r="B737" s="12" t="s">
        <v>54</v>
      </c>
      <c r="C737" s="12" t="s">
        <v>53</v>
      </c>
      <c r="D737" s="12" t="n">
        <v>126</v>
      </c>
      <c r="E737" s="12" t="s">
        <v>449</v>
      </c>
      <c r="F737" s="12" t="s">
        <v>82</v>
      </c>
      <c r="G737" s="12" t="s">
        <v>449</v>
      </c>
      <c r="H737" s="12" t="s">
        <v>1255</v>
      </c>
      <c r="I737" s="12" t="s">
        <v>411</v>
      </c>
      <c r="J737" s="12" t="s">
        <v>412</v>
      </c>
      <c r="K737" s="12" t="s">
        <v>413</v>
      </c>
      <c r="L737" s="12" t="s">
        <v>87</v>
      </c>
      <c r="M737" s="11" t="s">
        <v>88</v>
      </c>
    </row>
    <row r="738" customFormat="false" ht="41.75" hidden="false" customHeight="false" outlineLevel="0" collapsed="false">
      <c r="A738" s="11" t="s">
        <v>1470</v>
      </c>
      <c r="B738" s="12" t="s">
        <v>54</v>
      </c>
      <c r="C738" s="12" t="s">
        <v>53</v>
      </c>
      <c r="D738" s="12" t="n">
        <v>127</v>
      </c>
      <c r="E738" s="12" t="s">
        <v>449</v>
      </c>
      <c r="F738" s="12" t="s">
        <v>132</v>
      </c>
      <c r="G738" s="12" t="s">
        <v>1471</v>
      </c>
      <c r="H738" s="12" t="s">
        <v>1255</v>
      </c>
      <c r="I738" s="12" t="s">
        <v>411</v>
      </c>
      <c r="J738" s="12" t="s">
        <v>412</v>
      </c>
      <c r="K738" s="12" t="s">
        <v>413</v>
      </c>
      <c r="L738" s="12" t="s">
        <v>87</v>
      </c>
      <c r="M738" s="11" t="s">
        <v>88</v>
      </c>
    </row>
    <row r="739" customFormat="false" ht="28.35" hidden="false" customHeight="false" outlineLevel="0" collapsed="false">
      <c r="A739" s="11" t="s">
        <v>1472</v>
      </c>
      <c r="B739" s="12" t="s">
        <v>54</v>
      </c>
      <c r="C739" s="12" t="s">
        <v>53</v>
      </c>
      <c r="D739" s="12" t="n">
        <v>128</v>
      </c>
      <c r="E739" s="12" t="s">
        <v>449</v>
      </c>
      <c r="F739" s="12" t="s">
        <v>132</v>
      </c>
      <c r="G739" s="12" t="s">
        <v>1184</v>
      </c>
      <c r="H739" s="12" t="s">
        <v>1255</v>
      </c>
      <c r="I739" s="12" t="s">
        <v>411</v>
      </c>
      <c r="J739" s="12" t="s">
        <v>412</v>
      </c>
      <c r="K739" s="12" t="s">
        <v>413</v>
      </c>
      <c r="L739" s="12" t="s">
        <v>87</v>
      </c>
      <c r="M739" s="11" t="s">
        <v>88</v>
      </c>
    </row>
    <row r="740" customFormat="false" ht="28.35" hidden="false" customHeight="false" outlineLevel="0" collapsed="false">
      <c r="A740" s="11" t="s">
        <v>1473</v>
      </c>
      <c r="B740" s="12" t="s">
        <v>54</v>
      </c>
      <c r="C740" s="12" t="s">
        <v>53</v>
      </c>
      <c r="D740" s="12" t="n">
        <v>129</v>
      </c>
      <c r="E740" s="12" t="s">
        <v>449</v>
      </c>
      <c r="F740" s="12" t="s">
        <v>132</v>
      </c>
      <c r="G740" s="12" t="s">
        <v>1474</v>
      </c>
      <c r="H740" s="12" t="s">
        <v>1255</v>
      </c>
      <c r="I740" s="12" t="s">
        <v>411</v>
      </c>
      <c r="J740" s="12" t="s">
        <v>412</v>
      </c>
      <c r="K740" s="12" t="s">
        <v>413</v>
      </c>
      <c r="L740" s="12" t="s">
        <v>87</v>
      </c>
      <c r="M740" s="11" t="s">
        <v>88</v>
      </c>
    </row>
    <row r="741" customFormat="false" ht="28.35" hidden="false" customHeight="false" outlineLevel="0" collapsed="false">
      <c r="A741" s="11" t="s">
        <v>1475</v>
      </c>
      <c r="B741" s="12" t="s">
        <v>54</v>
      </c>
      <c r="C741" s="12" t="s">
        <v>53</v>
      </c>
      <c r="D741" s="12" t="n">
        <v>130</v>
      </c>
      <c r="E741" s="12" t="s">
        <v>449</v>
      </c>
      <c r="F741" s="12" t="s">
        <v>132</v>
      </c>
      <c r="G741" s="12" t="s">
        <v>455</v>
      </c>
      <c r="H741" s="12" t="s">
        <v>1255</v>
      </c>
      <c r="I741" s="12" t="s">
        <v>411</v>
      </c>
      <c r="J741" s="12" t="s">
        <v>412</v>
      </c>
      <c r="K741" s="12" t="s">
        <v>413</v>
      </c>
      <c r="L741" s="12" t="s">
        <v>87</v>
      </c>
      <c r="M741" s="11" t="s">
        <v>88</v>
      </c>
    </row>
    <row r="742" customFormat="false" ht="28.35" hidden="false" customHeight="false" outlineLevel="0" collapsed="false">
      <c r="A742" s="11" t="s">
        <v>1476</v>
      </c>
      <c r="B742" s="12" t="s">
        <v>54</v>
      </c>
      <c r="C742" s="12" t="s">
        <v>53</v>
      </c>
      <c r="D742" s="12" t="n">
        <v>131</v>
      </c>
      <c r="E742" s="12" t="s">
        <v>449</v>
      </c>
      <c r="F742" s="12" t="s">
        <v>132</v>
      </c>
      <c r="G742" s="12" t="s">
        <v>457</v>
      </c>
      <c r="H742" s="12" t="s">
        <v>1255</v>
      </c>
      <c r="I742" s="12" t="s">
        <v>411</v>
      </c>
      <c r="J742" s="12" t="s">
        <v>412</v>
      </c>
      <c r="K742" s="12" t="s">
        <v>413</v>
      </c>
      <c r="L742" s="12" t="s">
        <v>87</v>
      </c>
      <c r="M742" s="11" t="s">
        <v>88</v>
      </c>
    </row>
    <row r="743" customFormat="false" ht="28.35" hidden="false" customHeight="false" outlineLevel="0" collapsed="false">
      <c r="A743" s="11" t="s">
        <v>1477</v>
      </c>
      <c r="B743" s="12" t="s">
        <v>54</v>
      </c>
      <c r="C743" s="12" t="s">
        <v>53</v>
      </c>
      <c r="D743" s="12" t="n">
        <v>132</v>
      </c>
      <c r="E743" s="12" t="s">
        <v>449</v>
      </c>
      <c r="F743" s="12" t="s">
        <v>98</v>
      </c>
      <c r="G743" s="12" t="s">
        <v>459</v>
      </c>
      <c r="H743" s="12" t="s">
        <v>1255</v>
      </c>
      <c r="I743" s="12" t="s">
        <v>411</v>
      </c>
      <c r="J743" s="12" t="s">
        <v>412</v>
      </c>
      <c r="K743" s="12" t="s">
        <v>413</v>
      </c>
      <c r="L743" s="12" t="s">
        <v>87</v>
      </c>
      <c r="M743" s="11" t="s">
        <v>88</v>
      </c>
    </row>
    <row r="744" customFormat="false" ht="28.35" hidden="false" customHeight="false" outlineLevel="0" collapsed="false">
      <c r="A744" s="11" t="s">
        <v>1478</v>
      </c>
      <c r="B744" s="12" t="s">
        <v>54</v>
      </c>
      <c r="C744" s="12" t="s">
        <v>53</v>
      </c>
      <c r="D744" s="12" t="n">
        <v>133</v>
      </c>
      <c r="E744" s="12" t="s">
        <v>449</v>
      </c>
      <c r="F744" s="12" t="s">
        <v>98</v>
      </c>
      <c r="G744" s="12" t="s">
        <v>1479</v>
      </c>
      <c r="H744" s="12" t="s">
        <v>1255</v>
      </c>
      <c r="I744" s="12" t="s">
        <v>411</v>
      </c>
      <c r="J744" s="12" t="s">
        <v>412</v>
      </c>
      <c r="K744" s="12" t="s">
        <v>413</v>
      </c>
      <c r="L744" s="12" t="s">
        <v>87</v>
      </c>
      <c r="M744" s="11" t="s">
        <v>88</v>
      </c>
    </row>
    <row r="745" customFormat="false" ht="28.35" hidden="false" customHeight="false" outlineLevel="0" collapsed="false">
      <c r="A745" s="11" t="s">
        <v>1480</v>
      </c>
      <c r="B745" s="12" t="s">
        <v>54</v>
      </c>
      <c r="C745" s="12" t="s">
        <v>53</v>
      </c>
      <c r="D745" s="12" t="n">
        <v>134</v>
      </c>
      <c r="E745" s="12" t="s">
        <v>449</v>
      </c>
      <c r="F745" s="12" t="s">
        <v>98</v>
      </c>
      <c r="G745" s="12" t="s">
        <v>1481</v>
      </c>
      <c r="H745" s="12" t="s">
        <v>1255</v>
      </c>
      <c r="I745" s="12" t="s">
        <v>411</v>
      </c>
      <c r="J745" s="12" t="s">
        <v>412</v>
      </c>
      <c r="K745" s="12" t="s">
        <v>413</v>
      </c>
      <c r="L745" s="12" t="s">
        <v>87</v>
      </c>
      <c r="M745" s="11" t="s">
        <v>88</v>
      </c>
    </row>
    <row r="746" customFormat="false" ht="28.35" hidden="false" customHeight="false" outlineLevel="0" collapsed="false">
      <c r="A746" s="11" t="s">
        <v>1482</v>
      </c>
      <c r="B746" s="12" t="s">
        <v>54</v>
      </c>
      <c r="C746" s="12" t="s">
        <v>53</v>
      </c>
      <c r="D746" s="12" t="n">
        <v>135</v>
      </c>
      <c r="E746" s="12" t="s">
        <v>449</v>
      </c>
      <c r="F746" s="12" t="s">
        <v>98</v>
      </c>
      <c r="G746" s="12" t="s">
        <v>1483</v>
      </c>
      <c r="H746" s="12" t="s">
        <v>1255</v>
      </c>
      <c r="I746" s="12" t="s">
        <v>411</v>
      </c>
      <c r="J746" s="12" t="s">
        <v>412</v>
      </c>
      <c r="K746" s="12" t="s">
        <v>413</v>
      </c>
      <c r="L746" s="12" t="s">
        <v>87</v>
      </c>
      <c r="M746" s="11" t="s">
        <v>88</v>
      </c>
    </row>
    <row r="747" customFormat="false" ht="28.35" hidden="false" customHeight="false" outlineLevel="0" collapsed="false">
      <c r="A747" s="11" t="s">
        <v>1484</v>
      </c>
      <c r="B747" s="12" t="s">
        <v>54</v>
      </c>
      <c r="C747" s="12" t="s">
        <v>53</v>
      </c>
      <c r="D747" s="12" t="n">
        <v>136</v>
      </c>
      <c r="E747" s="12" t="s">
        <v>467</v>
      </c>
      <c r="F747" s="12" t="s">
        <v>82</v>
      </c>
      <c r="G747" s="12" t="s">
        <v>467</v>
      </c>
      <c r="H747" s="12" t="s">
        <v>1255</v>
      </c>
      <c r="I747" s="12" t="s">
        <v>158</v>
      </c>
      <c r="J747" s="12" t="s">
        <v>159</v>
      </c>
      <c r="K747" s="12" t="s">
        <v>19</v>
      </c>
      <c r="L747" s="12" t="s">
        <v>87</v>
      </c>
      <c r="M747" s="11" t="s">
        <v>88</v>
      </c>
    </row>
    <row r="748" customFormat="false" ht="28.35" hidden="false" customHeight="false" outlineLevel="0" collapsed="false">
      <c r="A748" s="11" t="s">
        <v>1485</v>
      </c>
      <c r="B748" s="12" t="s">
        <v>54</v>
      </c>
      <c r="C748" s="12" t="s">
        <v>53</v>
      </c>
      <c r="D748" s="12" t="n">
        <v>137</v>
      </c>
      <c r="E748" s="12" t="s">
        <v>467</v>
      </c>
      <c r="F748" s="12" t="s">
        <v>132</v>
      </c>
      <c r="G748" s="12" t="s">
        <v>1486</v>
      </c>
      <c r="H748" s="12" t="s">
        <v>1255</v>
      </c>
      <c r="I748" s="12" t="s">
        <v>164</v>
      </c>
      <c r="J748" s="12" t="s">
        <v>165</v>
      </c>
      <c r="K748" s="12" t="s">
        <v>16</v>
      </c>
      <c r="L748" s="12" t="s">
        <v>87</v>
      </c>
      <c r="M748" s="11" t="s">
        <v>88</v>
      </c>
    </row>
    <row r="749" customFormat="false" ht="28.35" hidden="false" customHeight="false" outlineLevel="0" collapsed="false">
      <c r="A749" s="11" t="s">
        <v>1487</v>
      </c>
      <c r="B749" s="12" t="s">
        <v>54</v>
      </c>
      <c r="C749" s="12" t="s">
        <v>53</v>
      </c>
      <c r="D749" s="12" t="n">
        <v>138</v>
      </c>
      <c r="E749" s="12" t="s">
        <v>467</v>
      </c>
      <c r="F749" s="12" t="s">
        <v>132</v>
      </c>
      <c r="G749" s="12" t="s">
        <v>1488</v>
      </c>
      <c r="H749" s="12" t="s">
        <v>1255</v>
      </c>
      <c r="I749" s="12" t="s">
        <v>164</v>
      </c>
      <c r="J749" s="12" t="s">
        <v>165</v>
      </c>
      <c r="K749" s="12" t="s">
        <v>16</v>
      </c>
      <c r="L749" s="12" t="s">
        <v>87</v>
      </c>
      <c r="M749" s="11" t="s">
        <v>88</v>
      </c>
    </row>
    <row r="750" customFormat="false" ht="28.35" hidden="false" customHeight="false" outlineLevel="0" collapsed="false">
      <c r="A750" s="11" t="s">
        <v>1489</v>
      </c>
      <c r="B750" s="12" t="s">
        <v>54</v>
      </c>
      <c r="C750" s="12" t="s">
        <v>53</v>
      </c>
      <c r="D750" s="12" t="n">
        <v>139</v>
      </c>
      <c r="E750" s="12" t="s">
        <v>467</v>
      </c>
      <c r="F750" s="12" t="s">
        <v>132</v>
      </c>
      <c r="G750" s="12" t="s">
        <v>1490</v>
      </c>
      <c r="H750" s="12" t="s">
        <v>1255</v>
      </c>
      <c r="I750" s="12" t="s">
        <v>164</v>
      </c>
      <c r="J750" s="12" t="s">
        <v>165</v>
      </c>
      <c r="K750" s="12" t="s">
        <v>16</v>
      </c>
      <c r="L750" s="12" t="s">
        <v>87</v>
      </c>
      <c r="M750" s="11" t="s">
        <v>88</v>
      </c>
    </row>
    <row r="751" customFormat="false" ht="28.35" hidden="false" customHeight="false" outlineLevel="0" collapsed="false">
      <c r="A751" s="11" t="s">
        <v>1491</v>
      </c>
      <c r="B751" s="12" t="s">
        <v>54</v>
      </c>
      <c r="C751" s="12" t="s">
        <v>53</v>
      </c>
      <c r="D751" s="12" t="n">
        <v>140</v>
      </c>
      <c r="E751" s="12" t="s">
        <v>467</v>
      </c>
      <c r="F751" s="12" t="s">
        <v>132</v>
      </c>
      <c r="G751" s="12" t="s">
        <v>475</v>
      </c>
      <c r="H751" s="12" t="s">
        <v>1255</v>
      </c>
      <c r="I751" s="12" t="s">
        <v>164</v>
      </c>
      <c r="J751" s="12" t="s">
        <v>165</v>
      </c>
      <c r="K751" s="12" t="s">
        <v>16</v>
      </c>
      <c r="L751" s="12" t="s">
        <v>87</v>
      </c>
      <c r="M751" s="11" t="s">
        <v>88</v>
      </c>
    </row>
    <row r="752" customFormat="false" ht="28.35" hidden="false" customHeight="false" outlineLevel="0" collapsed="false">
      <c r="A752" s="11" t="s">
        <v>1492</v>
      </c>
      <c r="B752" s="12" t="s">
        <v>54</v>
      </c>
      <c r="C752" s="12" t="s">
        <v>53</v>
      </c>
      <c r="D752" s="12" t="n">
        <v>141</v>
      </c>
      <c r="E752" s="12" t="s">
        <v>477</v>
      </c>
      <c r="F752" s="12" t="s">
        <v>82</v>
      </c>
      <c r="G752" s="12" t="s">
        <v>477</v>
      </c>
      <c r="H752" s="12" t="s">
        <v>1255</v>
      </c>
      <c r="I752" s="12" t="s">
        <v>478</v>
      </c>
      <c r="J752" s="12" t="s">
        <v>479</v>
      </c>
      <c r="K752" s="12" t="s">
        <v>28</v>
      </c>
      <c r="L752" s="12" t="s">
        <v>96</v>
      </c>
      <c r="M752" s="11" t="s">
        <v>88</v>
      </c>
    </row>
    <row r="753" customFormat="false" ht="28.35" hidden="false" customHeight="false" outlineLevel="0" collapsed="false">
      <c r="A753" s="11" t="s">
        <v>1493</v>
      </c>
      <c r="B753" s="12" t="s">
        <v>54</v>
      </c>
      <c r="C753" s="12" t="s">
        <v>53</v>
      </c>
      <c r="D753" s="12" t="n">
        <v>142</v>
      </c>
      <c r="E753" s="12" t="s">
        <v>477</v>
      </c>
      <c r="F753" s="12" t="s">
        <v>132</v>
      </c>
      <c r="G753" s="12" t="s">
        <v>1494</v>
      </c>
      <c r="H753" s="12" t="s">
        <v>1255</v>
      </c>
      <c r="I753" s="12" t="s">
        <v>478</v>
      </c>
      <c r="J753" s="12" t="s">
        <v>479</v>
      </c>
      <c r="K753" s="12" t="s">
        <v>28</v>
      </c>
      <c r="L753" s="12" t="s">
        <v>96</v>
      </c>
      <c r="M753" s="11" t="s">
        <v>88</v>
      </c>
    </row>
    <row r="754" customFormat="false" ht="41.75" hidden="false" customHeight="false" outlineLevel="0" collapsed="false">
      <c r="A754" s="11" t="s">
        <v>1495</v>
      </c>
      <c r="B754" s="12" t="s">
        <v>54</v>
      </c>
      <c r="C754" s="12" t="s">
        <v>53</v>
      </c>
      <c r="D754" s="12" t="n">
        <v>143</v>
      </c>
      <c r="E754" s="12" t="s">
        <v>477</v>
      </c>
      <c r="F754" s="12" t="s">
        <v>132</v>
      </c>
      <c r="G754" s="12" t="s">
        <v>1496</v>
      </c>
      <c r="H754" s="12" t="s">
        <v>1255</v>
      </c>
      <c r="I754" s="12" t="s">
        <v>478</v>
      </c>
      <c r="J754" s="12" t="s">
        <v>479</v>
      </c>
      <c r="K754" s="12" t="s">
        <v>28</v>
      </c>
      <c r="L754" s="12" t="s">
        <v>96</v>
      </c>
      <c r="M754" s="11" t="s">
        <v>88</v>
      </c>
    </row>
    <row r="755" customFormat="false" ht="41.75" hidden="false" customHeight="false" outlineLevel="0" collapsed="false">
      <c r="A755" s="11" t="s">
        <v>1497</v>
      </c>
      <c r="B755" s="12" t="s">
        <v>54</v>
      </c>
      <c r="C755" s="12" t="s">
        <v>53</v>
      </c>
      <c r="D755" s="12" t="n">
        <v>144</v>
      </c>
      <c r="E755" s="12" t="s">
        <v>477</v>
      </c>
      <c r="F755" s="12" t="s">
        <v>132</v>
      </c>
      <c r="G755" s="12" t="s">
        <v>1498</v>
      </c>
      <c r="H755" s="12" t="s">
        <v>1255</v>
      </c>
      <c r="I755" s="12" t="s">
        <v>478</v>
      </c>
      <c r="J755" s="12" t="s">
        <v>479</v>
      </c>
      <c r="K755" s="12" t="s">
        <v>28</v>
      </c>
      <c r="L755" s="12" t="s">
        <v>96</v>
      </c>
      <c r="M755" s="11" t="s">
        <v>88</v>
      </c>
    </row>
    <row r="756" customFormat="false" ht="41.75" hidden="false" customHeight="false" outlineLevel="0" collapsed="false">
      <c r="A756" s="11" t="s">
        <v>1499</v>
      </c>
      <c r="B756" s="12" t="s">
        <v>54</v>
      </c>
      <c r="C756" s="12" t="s">
        <v>53</v>
      </c>
      <c r="D756" s="12" t="n">
        <v>145</v>
      </c>
      <c r="E756" s="12" t="s">
        <v>477</v>
      </c>
      <c r="F756" s="12" t="s">
        <v>132</v>
      </c>
      <c r="G756" s="12" t="s">
        <v>1500</v>
      </c>
      <c r="H756" s="12" t="s">
        <v>1255</v>
      </c>
      <c r="I756" s="12" t="s">
        <v>478</v>
      </c>
      <c r="J756" s="12" t="s">
        <v>479</v>
      </c>
      <c r="K756" s="12" t="s">
        <v>28</v>
      </c>
      <c r="L756" s="12" t="s">
        <v>96</v>
      </c>
      <c r="M756" s="11" t="s">
        <v>88</v>
      </c>
    </row>
    <row r="757" customFormat="false" ht="41.75" hidden="false" customHeight="false" outlineLevel="0" collapsed="false">
      <c r="A757" s="11" t="s">
        <v>1501</v>
      </c>
      <c r="B757" s="12" t="s">
        <v>54</v>
      </c>
      <c r="C757" s="12" t="s">
        <v>53</v>
      </c>
      <c r="D757" s="12" t="n">
        <v>146</v>
      </c>
      <c r="E757" s="12" t="s">
        <v>477</v>
      </c>
      <c r="F757" s="12" t="s">
        <v>132</v>
      </c>
      <c r="G757" s="12" t="s">
        <v>1502</v>
      </c>
      <c r="H757" s="12" t="s">
        <v>1255</v>
      </c>
      <c r="I757" s="12" t="s">
        <v>478</v>
      </c>
      <c r="J757" s="12" t="s">
        <v>479</v>
      </c>
      <c r="K757" s="12" t="s">
        <v>28</v>
      </c>
      <c r="L757" s="12" t="s">
        <v>96</v>
      </c>
      <c r="M757" s="11" t="s">
        <v>88</v>
      </c>
    </row>
    <row r="758" customFormat="false" ht="28.35" hidden="false" customHeight="false" outlineLevel="0" collapsed="false">
      <c r="A758" s="11" t="s">
        <v>1503</v>
      </c>
      <c r="B758" s="12" t="s">
        <v>54</v>
      </c>
      <c r="C758" s="12" t="s">
        <v>53</v>
      </c>
      <c r="D758" s="12" t="n">
        <v>147</v>
      </c>
      <c r="E758" s="12" t="s">
        <v>477</v>
      </c>
      <c r="F758" s="12" t="s">
        <v>98</v>
      </c>
      <c r="G758" s="12" t="s">
        <v>491</v>
      </c>
      <c r="H758" s="12" t="s">
        <v>1255</v>
      </c>
      <c r="I758" s="12" t="s">
        <v>478</v>
      </c>
      <c r="J758" s="12" t="s">
        <v>479</v>
      </c>
      <c r="K758" s="12" t="s">
        <v>28</v>
      </c>
      <c r="L758" s="12" t="s">
        <v>96</v>
      </c>
      <c r="M758" s="11" t="s">
        <v>88</v>
      </c>
    </row>
    <row r="759" customFormat="false" ht="28.35" hidden="false" customHeight="false" outlineLevel="0" collapsed="false">
      <c r="A759" s="11" t="s">
        <v>1504</v>
      </c>
      <c r="B759" s="12" t="s">
        <v>54</v>
      </c>
      <c r="C759" s="12" t="s">
        <v>53</v>
      </c>
      <c r="D759" s="12" t="n">
        <v>148</v>
      </c>
      <c r="E759" s="12" t="s">
        <v>477</v>
      </c>
      <c r="F759" s="12" t="s">
        <v>132</v>
      </c>
      <c r="G759" s="12" t="s">
        <v>1505</v>
      </c>
      <c r="H759" s="12" t="s">
        <v>1255</v>
      </c>
      <c r="I759" s="12" t="s">
        <v>478</v>
      </c>
      <c r="J759" s="12" t="s">
        <v>479</v>
      </c>
      <c r="K759" s="12" t="s">
        <v>28</v>
      </c>
      <c r="L759" s="12" t="s">
        <v>96</v>
      </c>
      <c r="M759" s="11" t="s">
        <v>88</v>
      </c>
    </row>
    <row r="760" customFormat="false" ht="28.35" hidden="false" customHeight="false" outlineLevel="0" collapsed="false">
      <c r="A760" s="11" t="s">
        <v>1506</v>
      </c>
      <c r="B760" s="12" t="s">
        <v>54</v>
      </c>
      <c r="C760" s="12" t="s">
        <v>53</v>
      </c>
      <c r="D760" s="12" t="n">
        <v>149</v>
      </c>
      <c r="E760" s="12" t="s">
        <v>477</v>
      </c>
      <c r="F760" s="12" t="s">
        <v>132</v>
      </c>
      <c r="G760" s="12" t="s">
        <v>1507</v>
      </c>
      <c r="H760" s="12" t="s">
        <v>1255</v>
      </c>
      <c r="I760" s="12" t="s">
        <v>478</v>
      </c>
      <c r="J760" s="12" t="s">
        <v>479</v>
      </c>
      <c r="K760" s="12" t="s">
        <v>28</v>
      </c>
      <c r="L760" s="12" t="s">
        <v>96</v>
      </c>
      <c r="M760" s="11" t="s">
        <v>88</v>
      </c>
    </row>
    <row r="761" customFormat="false" ht="28.35" hidden="false" customHeight="false" outlineLevel="0" collapsed="false">
      <c r="A761" s="11" t="s">
        <v>1508</v>
      </c>
      <c r="B761" s="12" t="s">
        <v>54</v>
      </c>
      <c r="C761" s="12" t="s">
        <v>53</v>
      </c>
      <c r="D761" s="12" t="n">
        <v>150</v>
      </c>
      <c r="E761" s="12" t="s">
        <v>477</v>
      </c>
      <c r="F761" s="12" t="s">
        <v>132</v>
      </c>
      <c r="G761" s="12" t="s">
        <v>1509</v>
      </c>
      <c r="H761" s="12" t="s">
        <v>1255</v>
      </c>
      <c r="I761" s="12" t="s">
        <v>478</v>
      </c>
      <c r="J761" s="12" t="s">
        <v>479</v>
      </c>
      <c r="K761" s="12" t="s">
        <v>28</v>
      </c>
      <c r="L761" s="12" t="s">
        <v>96</v>
      </c>
      <c r="M761" s="11" t="s">
        <v>88</v>
      </c>
    </row>
    <row r="762" customFormat="false" ht="28.35" hidden="false" customHeight="false" outlineLevel="0" collapsed="false">
      <c r="A762" s="11" t="s">
        <v>1510</v>
      </c>
      <c r="B762" s="12" t="s">
        <v>54</v>
      </c>
      <c r="C762" s="12" t="s">
        <v>53</v>
      </c>
      <c r="D762" s="12" t="n">
        <v>151</v>
      </c>
      <c r="E762" s="12" t="s">
        <v>477</v>
      </c>
      <c r="F762" s="12" t="s">
        <v>132</v>
      </c>
      <c r="G762" s="12" t="s">
        <v>1511</v>
      </c>
      <c r="H762" s="12" t="s">
        <v>1255</v>
      </c>
      <c r="I762" s="12" t="s">
        <v>478</v>
      </c>
      <c r="J762" s="12" t="s">
        <v>479</v>
      </c>
      <c r="K762" s="12" t="s">
        <v>28</v>
      </c>
      <c r="L762" s="12" t="s">
        <v>96</v>
      </c>
      <c r="M762" s="11" t="s">
        <v>88</v>
      </c>
    </row>
    <row r="763" customFormat="false" ht="28.35" hidden="false" customHeight="false" outlineLevel="0" collapsed="false">
      <c r="A763" s="11" t="s">
        <v>1512</v>
      </c>
      <c r="B763" s="12" t="s">
        <v>54</v>
      </c>
      <c r="C763" s="12" t="s">
        <v>53</v>
      </c>
      <c r="D763" s="12" t="n">
        <v>152</v>
      </c>
      <c r="E763" s="12" t="s">
        <v>477</v>
      </c>
      <c r="F763" s="12" t="s">
        <v>132</v>
      </c>
      <c r="G763" s="12" t="s">
        <v>1513</v>
      </c>
      <c r="H763" s="12" t="s">
        <v>1255</v>
      </c>
      <c r="I763" s="12" t="s">
        <v>478</v>
      </c>
      <c r="J763" s="12" t="s">
        <v>479</v>
      </c>
      <c r="K763" s="12" t="s">
        <v>28</v>
      </c>
      <c r="L763" s="12" t="s">
        <v>96</v>
      </c>
      <c r="M763" s="11" t="s">
        <v>88</v>
      </c>
    </row>
    <row r="764" customFormat="false" ht="28.35" hidden="false" customHeight="false" outlineLevel="0" collapsed="false">
      <c r="A764" s="11" t="s">
        <v>1514</v>
      </c>
      <c r="B764" s="12" t="s">
        <v>54</v>
      </c>
      <c r="C764" s="12" t="s">
        <v>53</v>
      </c>
      <c r="D764" s="12" t="n">
        <v>153</v>
      </c>
      <c r="E764" s="12" t="s">
        <v>477</v>
      </c>
      <c r="F764" s="12" t="s">
        <v>132</v>
      </c>
      <c r="G764" s="12" t="s">
        <v>720</v>
      </c>
      <c r="H764" s="12" t="s">
        <v>1255</v>
      </c>
      <c r="I764" s="12" t="s">
        <v>478</v>
      </c>
      <c r="J764" s="12" t="s">
        <v>479</v>
      </c>
      <c r="K764" s="12" t="s">
        <v>28</v>
      </c>
      <c r="L764" s="12" t="s">
        <v>96</v>
      </c>
      <c r="M764" s="11" t="s">
        <v>88</v>
      </c>
    </row>
    <row r="765" customFormat="false" ht="28.35" hidden="false" customHeight="false" outlineLevel="0" collapsed="false">
      <c r="A765" s="11" t="s">
        <v>1515</v>
      </c>
      <c r="B765" s="12" t="s">
        <v>54</v>
      </c>
      <c r="C765" s="12" t="s">
        <v>53</v>
      </c>
      <c r="D765" s="12" t="n">
        <v>154</v>
      </c>
      <c r="E765" s="12" t="s">
        <v>477</v>
      </c>
      <c r="F765" s="12" t="s">
        <v>132</v>
      </c>
      <c r="G765" s="12" t="s">
        <v>1516</v>
      </c>
      <c r="H765" s="12" t="s">
        <v>1255</v>
      </c>
      <c r="I765" s="12" t="s">
        <v>478</v>
      </c>
      <c r="J765" s="12" t="s">
        <v>479</v>
      </c>
      <c r="K765" s="12" t="s">
        <v>28</v>
      </c>
      <c r="L765" s="12" t="s">
        <v>96</v>
      </c>
      <c r="M765" s="11" t="s">
        <v>88</v>
      </c>
    </row>
    <row r="766" customFormat="false" ht="28.35" hidden="false" customHeight="false" outlineLevel="0" collapsed="false">
      <c r="A766" s="11" t="s">
        <v>1517</v>
      </c>
      <c r="B766" s="12" t="s">
        <v>54</v>
      </c>
      <c r="C766" s="12" t="s">
        <v>53</v>
      </c>
      <c r="D766" s="12" t="n">
        <v>155</v>
      </c>
      <c r="E766" s="12" t="s">
        <v>477</v>
      </c>
      <c r="F766" s="12" t="s">
        <v>132</v>
      </c>
      <c r="G766" s="12" t="s">
        <v>1518</v>
      </c>
      <c r="H766" s="12" t="s">
        <v>1255</v>
      </c>
      <c r="I766" s="12" t="s">
        <v>478</v>
      </c>
      <c r="J766" s="12" t="s">
        <v>479</v>
      </c>
      <c r="K766" s="12" t="s">
        <v>28</v>
      </c>
      <c r="L766" s="12" t="s">
        <v>96</v>
      </c>
      <c r="M766" s="11" t="s">
        <v>88</v>
      </c>
    </row>
    <row r="767" customFormat="false" ht="28.35" hidden="false" customHeight="false" outlineLevel="0" collapsed="false">
      <c r="A767" s="11" t="s">
        <v>1519</v>
      </c>
      <c r="B767" s="12" t="s">
        <v>54</v>
      </c>
      <c r="C767" s="12" t="s">
        <v>53</v>
      </c>
      <c r="D767" s="12" t="n">
        <v>156</v>
      </c>
      <c r="E767" s="12" t="s">
        <v>477</v>
      </c>
      <c r="F767" s="12" t="s">
        <v>132</v>
      </c>
      <c r="G767" s="12" t="s">
        <v>1520</v>
      </c>
      <c r="H767" s="12" t="s">
        <v>1255</v>
      </c>
      <c r="I767" s="12" t="s">
        <v>478</v>
      </c>
      <c r="J767" s="12" t="s">
        <v>479</v>
      </c>
      <c r="K767" s="12" t="s">
        <v>28</v>
      </c>
      <c r="L767" s="12" t="s">
        <v>96</v>
      </c>
      <c r="M767" s="11" t="s">
        <v>88</v>
      </c>
    </row>
    <row r="768" customFormat="false" ht="28.35" hidden="false" customHeight="false" outlineLevel="0" collapsed="false">
      <c r="A768" s="11" t="s">
        <v>1521</v>
      </c>
      <c r="B768" s="12" t="s">
        <v>54</v>
      </c>
      <c r="C768" s="12" t="s">
        <v>53</v>
      </c>
      <c r="D768" s="12" t="n">
        <v>157</v>
      </c>
      <c r="E768" s="12" t="s">
        <v>477</v>
      </c>
      <c r="F768" s="12" t="s">
        <v>132</v>
      </c>
      <c r="G768" s="12" t="s">
        <v>1522</v>
      </c>
      <c r="H768" s="12" t="s">
        <v>1255</v>
      </c>
      <c r="I768" s="12" t="s">
        <v>478</v>
      </c>
      <c r="J768" s="12" t="s">
        <v>479</v>
      </c>
      <c r="K768" s="12" t="s">
        <v>28</v>
      </c>
      <c r="L768" s="12" t="s">
        <v>96</v>
      </c>
      <c r="M768" s="11" t="s">
        <v>88</v>
      </c>
    </row>
    <row r="769" customFormat="false" ht="28.35" hidden="false" customHeight="false" outlineLevel="0" collapsed="false">
      <c r="A769" s="11" t="s">
        <v>1523</v>
      </c>
      <c r="B769" s="12" t="s">
        <v>56</v>
      </c>
      <c r="C769" s="12" t="s">
        <v>55</v>
      </c>
      <c r="D769" s="12" t="n">
        <v>1</v>
      </c>
      <c r="E769" s="12" t="s">
        <v>1524</v>
      </c>
      <c r="F769" s="12" t="s">
        <v>82</v>
      </c>
      <c r="G769" s="12" t="s">
        <v>1524</v>
      </c>
      <c r="H769" s="12" t="s">
        <v>259</v>
      </c>
      <c r="I769" s="12" t="s">
        <v>158</v>
      </c>
      <c r="J769" s="12" t="s">
        <v>159</v>
      </c>
      <c r="K769" s="12" t="s">
        <v>19</v>
      </c>
      <c r="L769" s="12" t="s">
        <v>87</v>
      </c>
      <c r="M769" s="11" t="s">
        <v>88</v>
      </c>
    </row>
    <row r="770" customFormat="false" ht="28.35" hidden="false" customHeight="false" outlineLevel="0" collapsed="false">
      <c r="A770" s="11" t="s">
        <v>1525</v>
      </c>
      <c r="B770" s="12" t="s">
        <v>56</v>
      </c>
      <c r="C770" s="12" t="s">
        <v>55</v>
      </c>
      <c r="D770" s="12" t="n">
        <v>2</v>
      </c>
      <c r="E770" s="12" t="s">
        <v>1526</v>
      </c>
      <c r="F770" s="12" t="s">
        <v>82</v>
      </c>
      <c r="G770" s="12" t="s">
        <v>1526</v>
      </c>
      <c r="H770" s="12" t="s">
        <v>259</v>
      </c>
      <c r="I770" s="12" t="s">
        <v>158</v>
      </c>
      <c r="J770" s="12" t="s">
        <v>159</v>
      </c>
      <c r="K770" s="12" t="s">
        <v>19</v>
      </c>
      <c r="L770" s="12" t="s">
        <v>87</v>
      </c>
      <c r="M770" s="11" t="s">
        <v>88</v>
      </c>
    </row>
    <row r="771" customFormat="false" ht="28.35" hidden="false" customHeight="false" outlineLevel="0" collapsed="false">
      <c r="A771" s="11" t="s">
        <v>1527</v>
      </c>
      <c r="B771" s="12" t="s">
        <v>56</v>
      </c>
      <c r="C771" s="12" t="s">
        <v>55</v>
      </c>
      <c r="D771" s="12" t="n">
        <v>3</v>
      </c>
      <c r="E771" s="12" t="s">
        <v>92</v>
      </c>
      <c r="F771" s="12" t="s">
        <v>82</v>
      </c>
      <c r="G771" s="12" t="s">
        <v>92</v>
      </c>
      <c r="H771" s="12" t="s">
        <v>259</v>
      </c>
      <c r="I771" s="12" t="s">
        <v>93</v>
      </c>
      <c r="J771" s="12" t="s">
        <v>94</v>
      </c>
      <c r="K771" s="12" t="s">
        <v>95</v>
      </c>
      <c r="L771" s="12" t="s">
        <v>96</v>
      </c>
      <c r="M771" s="11" t="s">
        <v>88</v>
      </c>
    </row>
    <row r="772" customFormat="false" ht="28.35" hidden="false" customHeight="false" outlineLevel="0" collapsed="false">
      <c r="A772" s="11" t="s">
        <v>1528</v>
      </c>
      <c r="B772" s="12" t="s">
        <v>56</v>
      </c>
      <c r="C772" s="12" t="s">
        <v>55</v>
      </c>
      <c r="D772" s="12" t="n">
        <v>4</v>
      </c>
      <c r="E772" s="12" t="s">
        <v>92</v>
      </c>
      <c r="F772" s="12" t="s">
        <v>98</v>
      </c>
      <c r="G772" s="12" t="s">
        <v>99</v>
      </c>
      <c r="H772" s="12" t="s">
        <v>259</v>
      </c>
      <c r="I772" s="12" t="s">
        <v>93</v>
      </c>
      <c r="J772" s="12" t="s">
        <v>94</v>
      </c>
      <c r="K772" s="12" t="s">
        <v>95</v>
      </c>
      <c r="L772" s="12" t="s">
        <v>96</v>
      </c>
      <c r="M772" s="11" t="s">
        <v>88</v>
      </c>
    </row>
    <row r="773" customFormat="false" ht="28.35" hidden="false" customHeight="false" outlineLevel="0" collapsed="false">
      <c r="A773" s="11" t="s">
        <v>1529</v>
      </c>
      <c r="B773" s="12" t="s">
        <v>56</v>
      </c>
      <c r="C773" s="12" t="s">
        <v>55</v>
      </c>
      <c r="D773" s="12" t="n">
        <v>5</v>
      </c>
      <c r="E773" s="12" t="s">
        <v>92</v>
      </c>
      <c r="F773" s="12" t="s">
        <v>98</v>
      </c>
      <c r="G773" s="12" t="s">
        <v>948</v>
      </c>
      <c r="H773" s="12" t="s">
        <v>259</v>
      </c>
      <c r="I773" s="12" t="s">
        <v>93</v>
      </c>
      <c r="J773" s="12" t="s">
        <v>94</v>
      </c>
      <c r="K773" s="12" t="s">
        <v>95</v>
      </c>
      <c r="L773" s="12" t="s">
        <v>96</v>
      </c>
      <c r="M773" s="11" t="s">
        <v>88</v>
      </c>
    </row>
    <row r="774" customFormat="false" ht="28.35" hidden="false" customHeight="false" outlineLevel="0" collapsed="false">
      <c r="A774" s="11" t="s">
        <v>1530</v>
      </c>
      <c r="B774" s="12" t="s">
        <v>56</v>
      </c>
      <c r="C774" s="12" t="s">
        <v>55</v>
      </c>
      <c r="D774" s="12" t="n">
        <v>6</v>
      </c>
      <c r="E774" s="12" t="s">
        <v>92</v>
      </c>
      <c r="F774" s="12" t="s">
        <v>98</v>
      </c>
      <c r="G774" s="12" t="s">
        <v>1531</v>
      </c>
      <c r="H774" s="12" t="s">
        <v>259</v>
      </c>
      <c r="I774" s="12" t="s">
        <v>93</v>
      </c>
      <c r="J774" s="12" t="s">
        <v>94</v>
      </c>
      <c r="K774" s="12" t="s">
        <v>95</v>
      </c>
      <c r="L774" s="12" t="s">
        <v>96</v>
      </c>
      <c r="M774" s="11" t="s">
        <v>88</v>
      </c>
    </row>
    <row r="775" customFormat="false" ht="28.35" hidden="false" customHeight="false" outlineLevel="0" collapsed="false">
      <c r="A775" s="11" t="s">
        <v>1532</v>
      </c>
      <c r="B775" s="12" t="s">
        <v>56</v>
      </c>
      <c r="C775" s="12" t="s">
        <v>55</v>
      </c>
      <c r="D775" s="12" t="n">
        <v>7</v>
      </c>
      <c r="E775" s="12" t="s">
        <v>92</v>
      </c>
      <c r="F775" s="12" t="s">
        <v>98</v>
      </c>
      <c r="G775" s="12" t="s">
        <v>1533</v>
      </c>
      <c r="H775" s="12" t="s">
        <v>259</v>
      </c>
      <c r="I775" s="12" t="s">
        <v>93</v>
      </c>
      <c r="J775" s="12" t="s">
        <v>94</v>
      </c>
      <c r="K775" s="12" t="s">
        <v>95</v>
      </c>
      <c r="L775" s="12" t="s">
        <v>96</v>
      </c>
      <c r="M775" s="11" t="s">
        <v>88</v>
      </c>
    </row>
    <row r="776" customFormat="false" ht="28.35" hidden="false" customHeight="false" outlineLevel="0" collapsed="false">
      <c r="A776" s="11" t="s">
        <v>1534</v>
      </c>
      <c r="B776" s="12" t="s">
        <v>56</v>
      </c>
      <c r="C776" s="12" t="s">
        <v>55</v>
      </c>
      <c r="D776" s="12" t="n">
        <v>8</v>
      </c>
      <c r="E776" s="12" t="s">
        <v>92</v>
      </c>
      <c r="F776" s="12" t="s">
        <v>98</v>
      </c>
      <c r="G776" s="12" t="s">
        <v>1535</v>
      </c>
      <c r="H776" s="12" t="s">
        <v>259</v>
      </c>
      <c r="I776" s="12" t="s">
        <v>93</v>
      </c>
      <c r="J776" s="12" t="s">
        <v>94</v>
      </c>
      <c r="K776" s="12" t="s">
        <v>95</v>
      </c>
      <c r="L776" s="12" t="s">
        <v>96</v>
      </c>
      <c r="M776" s="11" t="s">
        <v>88</v>
      </c>
    </row>
    <row r="777" customFormat="false" ht="28.35" hidden="false" customHeight="false" outlineLevel="0" collapsed="false">
      <c r="A777" s="11" t="s">
        <v>1536</v>
      </c>
      <c r="B777" s="12" t="s">
        <v>56</v>
      </c>
      <c r="C777" s="12" t="s">
        <v>55</v>
      </c>
      <c r="D777" s="12" t="n">
        <v>9</v>
      </c>
      <c r="E777" s="12" t="s">
        <v>92</v>
      </c>
      <c r="F777" s="12" t="s">
        <v>98</v>
      </c>
      <c r="G777" s="12" t="s">
        <v>272</v>
      </c>
      <c r="H777" s="12" t="s">
        <v>259</v>
      </c>
      <c r="I777" s="12" t="s">
        <v>93</v>
      </c>
      <c r="J777" s="12" t="s">
        <v>94</v>
      </c>
      <c r="K777" s="12" t="s">
        <v>95</v>
      </c>
      <c r="L777" s="12" t="s">
        <v>96</v>
      </c>
      <c r="M777" s="11" t="s">
        <v>88</v>
      </c>
    </row>
    <row r="778" customFormat="false" ht="55.2" hidden="false" customHeight="false" outlineLevel="0" collapsed="false">
      <c r="A778" s="11" t="s">
        <v>1537</v>
      </c>
      <c r="B778" s="12" t="s">
        <v>56</v>
      </c>
      <c r="C778" s="12" t="s">
        <v>55</v>
      </c>
      <c r="D778" s="12" t="n">
        <v>10</v>
      </c>
      <c r="E778" s="12" t="s">
        <v>92</v>
      </c>
      <c r="F778" s="12" t="s">
        <v>98</v>
      </c>
      <c r="G778" s="12" t="s">
        <v>1538</v>
      </c>
      <c r="H778" s="12" t="s">
        <v>259</v>
      </c>
      <c r="I778" s="12" t="s">
        <v>93</v>
      </c>
      <c r="J778" s="12" t="s">
        <v>94</v>
      </c>
      <c r="K778" s="12" t="s">
        <v>95</v>
      </c>
      <c r="L778" s="12" t="s">
        <v>96</v>
      </c>
      <c r="M778" s="11" t="s">
        <v>88</v>
      </c>
    </row>
    <row r="779" customFormat="false" ht="28.35" hidden="false" customHeight="false" outlineLevel="0" collapsed="false">
      <c r="A779" s="11" t="s">
        <v>1539</v>
      </c>
      <c r="B779" s="12" t="s">
        <v>56</v>
      </c>
      <c r="C779" s="12" t="s">
        <v>55</v>
      </c>
      <c r="D779" s="12" t="n">
        <v>11</v>
      </c>
      <c r="E779" s="12" t="s">
        <v>1540</v>
      </c>
      <c r="F779" s="12" t="s">
        <v>82</v>
      </c>
      <c r="G779" s="12" t="s">
        <v>1540</v>
      </c>
      <c r="H779" s="12" t="s">
        <v>259</v>
      </c>
      <c r="I779" s="12" t="s">
        <v>93</v>
      </c>
      <c r="J779" s="12" t="s">
        <v>94</v>
      </c>
      <c r="K779" s="12" t="s">
        <v>95</v>
      </c>
      <c r="L779" s="12" t="s">
        <v>96</v>
      </c>
      <c r="M779" s="11" t="s">
        <v>88</v>
      </c>
    </row>
    <row r="780" customFormat="false" ht="28.35" hidden="false" customHeight="false" outlineLevel="0" collapsed="false">
      <c r="A780" s="11" t="s">
        <v>1541</v>
      </c>
      <c r="B780" s="12" t="s">
        <v>56</v>
      </c>
      <c r="C780" s="12" t="s">
        <v>55</v>
      </c>
      <c r="D780" s="12" t="n">
        <v>12</v>
      </c>
      <c r="E780" s="12" t="s">
        <v>1540</v>
      </c>
      <c r="F780" s="12" t="s">
        <v>98</v>
      </c>
      <c r="G780" s="12" t="s">
        <v>115</v>
      </c>
      <c r="H780" s="12" t="s">
        <v>259</v>
      </c>
      <c r="I780" s="12" t="s">
        <v>93</v>
      </c>
      <c r="J780" s="12" t="s">
        <v>94</v>
      </c>
      <c r="K780" s="12" t="s">
        <v>95</v>
      </c>
      <c r="L780" s="12" t="s">
        <v>96</v>
      </c>
      <c r="M780" s="11" t="s">
        <v>88</v>
      </c>
    </row>
    <row r="781" customFormat="false" ht="28.35" hidden="false" customHeight="false" outlineLevel="0" collapsed="false">
      <c r="A781" s="11" t="s">
        <v>1542</v>
      </c>
      <c r="B781" s="12" t="s">
        <v>56</v>
      </c>
      <c r="C781" s="12" t="s">
        <v>55</v>
      </c>
      <c r="D781" s="12" t="n">
        <v>13</v>
      </c>
      <c r="E781" s="12" t="s">
        <v>1540</v>
      </c>
      <c r="F781" s="12" t="s">
        <v>98</v>
      </c>
      <c r="G781" s="12" t="s">
        <v>1543</v>
      </c>
      <c r="H781" s="12" t="s">
        <v>259</v>
      </c>
      <c r="I781" s="12" t="s">
        <v>93</v>
      </c>
      <c r="J781" s="12" t="s">
        <v>94</v>
      </c>
      <c r="K781" s="12" t="s">
        <v>95</v>
      </c>
      <c r="L781" s="12" t="s">
        <v>96</v>
      </c>
      <c r="M781" s="11" t="s">
        <v>88</v>
      </c>
    </row>
    <row r="782" customFormat="false" ht="28.35" hidden="false" customHeight="false" outlineLevel="0" collapsed="false">
      <c r="A782" s="11" t="s">
        <v>1544</v>
      </c>
      <c r="B782" s="12" t="s">
        <v>56</v>
      </c>
      <c r="C782" s="12" t="s">
        <v>55</v>
      </c>
      <c r="D782" s="12" t="n">
        <v>14</v>
      </c>
      <c r="E782" s="12" t="s">
        <v>1540</v>
      </c>
      <c r="F782" s="12" t="s">
        <v>98</v>
      </c>
      <c r="G782" s="12" t="s">
        <v>1545</v>
      </c>
      <c r="H782" s="12" t="s">
        <v>259</v>
      </c>
      <c r="I782" s="12" t="s">
        <v>93</v>
      </c>
      <c r="J782" s="12" t="s">
        <v>94</v>
      </c>
      <c r="K782" s="12" t="s">
        <v>95</v>
      </c>
      <c r="L782" s="12" t="s">
        <v>96</v>
      </c>
      <c r="M782" s="11" t="s">
        <v>88</v>
      </c>
    </row>
    <row r="783" customFormat="false" ht="28.35" hidden="false" customHeight="false" outlineLevel="0" collapsed="false">
      <c r="A783" s="11" t="s">
        <v>1546</v>
      </c>
      <c r="B783" s="12" t="s">
        <v>56</v>
      </c>
      <c r="C783" s="12" t="s">
        <v>55</v>
      </c>
      <c r="D783" s="12" t="n">
        <v>15</v>
      </c>
      <c r="E783" s="12" t="s">
        <v>1540</v>
      </c>
      <c r="F783" s="12" t="s">
        <v>98</v>
      </c>
      <c r="G783" s="12" t="s">
        <v>1547</v>
      </c>
      <c r="H783" s="12" t="s">
        <v>259</v>
      </c>
      <c r="I783" s="12" t="s">
        <v>93</v>
      </c>
      <c r="J783" s="12" t="s">
        <v>94</v>
      </c>
      <c r="K783" s="12" t="s">
        <v>95</v>
      </c>
      <c r="L783" s="12" t="s">
        <v>96</v>
      </c>
      <c r="M783" s="11" t="s">
        <v>88</v>
      </c>
    </row>
    <row r="784" customFormat="false" ht="28.35" hidden="false" customHeight="false" outlineLevel="0" collapsed="false">
      <c r="A784" s="11" t="s">
        <v>1548</v>
      </c>
      <c r="B784" s="12" t="s">
        <v>56</v>
      </c>
      <c r="C784" s="12" t="s">
        <v>55</v>
      </c>
      <c r="D784" s="12" t="n">
        <v>16</v>
      </c>
      <c r="E784" s="12" t="s">
        <v>1540</v>
      </c>
      <c r="F784" s="12" t="s">
        <v>98</v>
      </c>
      <c r="G784" s="12" t="s">
        <v>1549</v>
      </c>
      <c r="H784" s="12" t="s">
        <v>259</v>
      </c>
      <c r="I784" s="12" t="s">
        <v>93</v>
      </c>
      <c r="J784" s="12" t="s">
        <v>94</v>
      </c>
      <c r="K784" s="12" t="s">
        <v>95</v>
      </c>
      <c r="L784" s="12" t="s">
        <v>96</v>
      </c>
      <c r="M784" s="11" t="s">
        <v>88</v>
      </c>
    </row>
    <row r="785" customFormat="false" ht="28.35" hidden="false" customHeight="false" outlineLevel="0" collapsed="false">
      <c r="A785" s="11" t="s">
        <v>1550</v>
      </c>
      <c r="B785" s="12" t="s">
        <v>56</v>
      </c>
      <c r="C785" s="12" t="s">
        <v>55</v>
      </c>
      <c r="D785" s="12" t="n">
        <v>17</v>
      </c>
      <c r="E785" s="12" t="s">
        <v>1540</v>
      </c>
      <c r="F785" s="12" t="s">
        <v>98</v>
      </c>
      <c r="G785" s="12" t="s">
        <v>1551</v>
      </c>
      <c r="H785" s="12" t="s">
        <v>259</v>
      </c>
      <c r="I785" s="12" t="s">
        <v>93</v>
      </c>
      <c r="J785" s="12" t="s">
        <v>94</v>
      </c>
      <c r="K785" s="12" t="s">
        <v>95</v>
      </c>
      <c r="L785" s="12" t="s">
        <v>96</v>
      </c>
      <c r="M785" s="11" t="s">
        <v>88</v>
      </c>
    </row>
    <row r="786" customFormat="false" ht="28.35" hidden="false" customHeight="false" outlineLevel="0" collapsed="false">
      <c r="A786" s="11" t="s">
        <v>1552</v>
      </c>
      <c r="B786" s="12" t="s">
        <v>56</v>
      </c>
      <c r="C786" s="12" t="s">
        <v>55</v>
      </c>
      <c r="D786" s="12" t="n">
        <v>18</v>
      </c>
      <c r="E786" s="12" t="s">
        <v>1540</v>
      </c>
      <c r="F786" s="12" t="s">
        <v>98</v>
      </c>
      <c r="G786" s="12" t="s">
        <v>1553</v>
      </c>
      <c r="H786" s="12" t="s">
        <v>259</v>
      </c>
      <c r="I786" s="12" t="s">
        <v>93</v>
      </c>
      <c r="J786" s="12" t="s">
        <v>94</v>
      </c>
      <c r="K786" s="12" t="s">
        <v>95</v>
      </c>
      <c r="L786" s="12" t="s">
        <v>96</v>
      </c>
      <c r="M786" s="11" t="s">
        <v>88</v>
      </c>
    </row>
    <row r="787" customFormat="false" ht="28.35" hidden="false" customHeight="false" outlineLevel="0" collapsed="false">
      <c r="A787" s="11" t="s">
        <v>1554</v>
      </c>
      <c r="B787" s="12" t="s">
        <v>56</v>
      </c>
      <c r="C787" s="12" t="s">
        <v>55</v>
      </c>
      <c r="D787" s="12" t="n">
        <v>19</v>
      </c>
      <c r="E787" s="12" t="s">
        <v>1540</v>
      </c>
      <c r="F787" s="12" t="s">
        <v>98</v>
      </c>
      <c r="G787" s="12" t="s">
        <v>1555</v>
      </c>
      <c r="H787" s="12" t="s">
        <v>259</v>
      </c>
      <c r="I787" s="12" t="s">
        <v>93</v>
      </c>
      <c r="J787" s="12" t="s">
        <v>94</v>
      </c>
      <c r="K787" s="12" t="s">
        <v>95</v>
      </c>
      <c r="L787" s="12" t="s">
        <v>96</v>
      </c>
      <c r="M787" s="11" t="s">
        <v>88</v>
      </c>
    </row>
    <row r="788" customFormat="false" ht="28.35" hidden="false" customHeight="false" outlineLevel="0" collapsed="false">
      <c r="A788" s="11" t="s">
        <v>1556</v>
      </c>
      <c r="B788" s="12" t="s">
        <v>56</v>
      </c>
      <c r="C788" s="12" t="s">
        <v>55</v>
      </c>
      <c r="D788" s="12" t="n">
        <v>20</v>
      </c>
      <c r="E788" s="12" t="s">
        <v>1540</v>
      </c>
      <c r="F788" s="12" t="s">
        <v>98</v>
      </c>
      <c r="G788" s="12" t="s">
        <v>1557</v>
      </c>
      <c r="H788" s="12" t="s">
        <v>259</v>
      </c>
      <c r="I788" s="12" t="s">
        <v>93</v>
      </c>
      <c r="J788" s="12" t="s">
        <v>94</v>
      </c>
      <c r="K788" s="12" t="s">
        <v>95</v>
      </c>
      <c r="L788" s="12" t="s">
        <v>96</v>
      </c>
      <c r="M788" s="11" t="s">
        <v>88</v>
      </c>
    </row>
    <row r="789" customFormat="false" ht="28.35" hidden="false" customHeight="false" outlineLevel="0" collapsed="false">
      <c r="A789" s="11" t="s">
        <v>1558</v>
      </c>
      <c r="B789" s="12" t="s">
        <v>56</v>
      </c>
      <c r="C789" s="12" t="s">
        <v>55</v>
      </c>
      <c r="D789" s="12" t="n">
        <v>21</v>
      </c>
      <c r="E789" s="12" t="s">
        <v>1540</v>
      </c>
      <c r="F789" s="12" t="s">
        <v>98</v>
      </c>
      <c r="G789" s="12" t="s">
        <v>130</v>
      </c>
      <c r="H789" s="12" t="s">
        <v>259</v>
      </c>
      <c r="I789" s="12" t="s">
        <v>93</v>
      </c>
      <c r="J789" s="12" t="s">
        <v>94</v>
      </c>
      <c r="K789" s="12" t="s">
        <v>95</v>
      </c>
      <c r="L789" s="12" t="s">
        <v>96</v>
      </c>
      <c r="M789" s="11" t="s">
        <v>88</v>
      </c>
    </row>
    <row r="790" customFormat="false" ht="28.35" hidden="false" customHeight="false" outlineLevel="0" collapsed="false">
      <c r="A790" s="11" t="s">
        <v>1559</v>
      </c>
      <c r="B790" s="12" t="s">
        <v>56</v>
      </c>
      <c r="C790" s="12" t="s">
        <v>55</v>
      </c>
      <c r="D790" s="12" t="n">
        <v>22</v>
      </c>
      <c r="E790" s="12" t="s">
        <v>1560</v>
      </c>
      <c r="F790" s="12" t="s">
        <v>82</v>
      </c>
      <c r="G790" s="12" t="s">
        <v>1560</v>
      </c>
      <c r="H790" s="12" t="s">
        <v>259</v>
      </c>
      <c r="I790" s="12" t="s">
        <v>158</v>
      </c>
      <c r="J790" s="12" t="s">
        <v>159</v>
      </c>
      <c r="K790" s="12" t="s">
        <v>19</v>
      </c>
      <c r="L790" s="12" t="s">
        <v>87</v>
      </c>
      <c r="M790" s="11" t="s">
        <v>88</v>
      </c>
    </row>
    <row r="791" customFormat="false" ht="28.35" hidden="false" customHeight="false" outlineLevel="0" collapsed="false">
      <c r="A791" s="11" t="s">
        <v>1561</v>
      </c>
      <c r="B791" s="12" t="s">
        <v>56</v>
      </c>
      <c r="C791" s="12" t="s">
        <v>55</v>
      </c>
      <c r="D791" s="12" t="n">
        <v>23</v>
      </c>
      <c r="E791" s="12" t="s">
        <v>1560</v>
      </c>
      <c r="F791" s="12" t="s">
        <v>132</v>
      </c>
      <c r="G791" s="12" t="s">
        <v>1562</v>
      </c>
      <c r="H791" s="12" t="s">
        <v>259</v>
      </c>
      <c r="I791" s="12" t="s">
        <v>164</v>
      </c>
      <c r="J791" s="12" t="s">
        <v>165</v>
      </c>
      <c r="K791" s="12" t="s">
        <v>16</v>
      </c>
      <c r="L791" s="12" t="s">
        <v>87</v>
      </c>
      <c r="M791" s="11" t="s">
        <v>88</v>
      </c>
    </row>
    <row r="792" customFormat="false" ht="28.35" hidden="false" customHeight="false" outlineLevel="0" collapsed="false">
      <c r="A792" s="11" t="s">
        <v>1563</v>
      </c>
      <c r="B792" s="12" t="s">
        <v>56</v>
      </c>
      <c r="C792" s="12" t="s">
        <v>55</v>
      </c>
      <c r="D792" s="12" t="n">
        <v>24</v>
      </c>
      <c r="E792" s="12" t="s">
        <v>1560</v>
      </c>
      <c r="F792" s="12" t="s">
        <v>132</v>
      </c>
      <c r="G792" s="12" t="s">
        <v>1564</v>
      </c>
      <c r="H792" s="12" t="s">
        <v>259</v>
      </c>
      <c r="I792" s="12" t="s">
        <v>164</v>
      </c>
      <c r="J792" s="12" t="s">
        <v>165</v>
      </c>
      <c r="K792" s="12" t="s">
        <v>16</v>
      </c>
      <c r="L792" s="12" t="s">
        <v>87</v>
      </c>
      <c r="M792" s="11" t="s">
        <v>88</v>
      </c>
    </row>
    <row r="793" customFormat="false" ht="41.75" hidden="false" customHeight="false" outlineLevel="0" collapsed="false">
      <c r="A793" s="11" t="s">
        <v>1565</v>
      </c>
      <c r="B793" s="12" t="s">
        <v>56</v>
      </c>
      <c r="C793" s="12" t="s">
        <v>55</v>
      </c>
      <c r="D793" s="12" t="n">
        <v>25</v>
      </c>
      <c r="E793" s="12" t="s">
        <v>1560</v>
      </c>
      <c r="F793" s="12" t="s">
        <v>132</v>
      </c>
      <c r="G793" s="12" t="s">
        <v>1566</v>
      </c>
      <c r="H793" s="12" t="s">
        <v>259</v>
      </c>
      <c r="I793" s="12" t="s">
        <v>164</v>
      </c>
      <c r="J793" s="12" t="s">
        <v>165</v>
      </c>
      <c r="K793" s="12" t="s">
        <v>16</v>
      </c>
      <c r="L793" s="12" t="s">
        <v>87</v>
      </c>
      <c r="M793" s="11" t="s">
        <v>88</v>
      </c>
    </row>
    <row r="794" customFormat="false" ht="28.35" hidden="false" customHeight="false" outlineLevel="0" collapsed="false">
      <c r="A794" s="11" t="s">
        <v>1567</v>
      </c>
      <c r="B794" s="12" t="s">
        <v>56</v>
      </c>
      <c r="C794" s="12" t="s">
        <v>55</v>
      </c>
      <c r="D794" s="12" t="n">
        <v>26</v>
      </c>
      <c r="E794" s="12" t="s">
        <v>1560</v>
      </c>
      <c r="F794" s="12" t="s">
        <v>132</v>
      </c>
      <c r="G794" s="12" t="s">
        <v>1568</v>
      </c>
      <c r="H794" s="12" t="s">
        <v>259</v>
      </c>
      <c r="I794" s="12" t="s">
        <v>164</v>
      </c>
      <c r="J794" s="12" t="s">
        <v>165</v>
      </c>
      <c r="K794" s="12" t="s">
        <v>16</v>
      </c>
      <c r="L794" s="12" t="s">
        <v>87</v>
      </c>
      <c r="M794" s="11" t="s">
        <v>88</v>
      </c>
    </row>
    <row r="795" customFormat="false" ht="28.35" hidden="false" customHeight="false" outlineLevel="0" collapsed="false">
      <c r="A795" s="11" t="s">
        <v>1569</v>
      </c>
      <c r="B795" s="12" t="s">
        <v>56</v>
      </c>
      <c r="C795" s="12" t="s">
        <v>55</v>
      </c>
      <c r="D795" s="12" t="n">
        <v>27</v>
      </c>
      <c r="E795" s="12" t="s">
        <v>1560</v>
      </c>
      <c r="F795" s="12" t="s">
        <v>132</v>
      </c>
      <c r="G795" s="12" t="s">
        <v>1570</v>
      </c>
      <c r="H795" s="12" t="s">
        <v>259</v>
      </c>
      <c r="I795" s="12" t="s">
        <v>164</v>
      </c>
      <c r="J795" s="12" t="s">
        <v>165</v>
      </c>
      <c r="K795" s="12" t="s">
        <v>16</v>
      </c>
      <c r="L795" s="12" t="s">
        <v>87</v>
      </c>
      <c r="M795" s="11" t="s">
        <v>88</v>
      </c>
    </row>
    <row r="796" customFormat="false" ht="28.35" hidden="false" customHeight="false" outlineLevel="0" collapsed="false">
      <c r="A796" s="11" t="s">
        <v>1571</v>
      </c>
      <c r="B796" s="12" t="s">
        <v>56</v>
      </c>
      <c r="C796" s="12" t="s">
        <v>55</v>
      </c>
      <c r="D796" s="12" t="n">
        <v>28</v>
      </c>
      <c r="E796" s="12" t="s">
        <v>1560</v>
      </c>
      <c r="F796" s="12" t="s">
        <v>132</v>
      </c>
      <c r="G796" s="12" t="s">
        <v>1572</v>
      </c>
      <c r="H796" s="12" t="s">
        <v>259</v>
      </c>
      <c r="I796" s="12" t="s">
        <v>164</v>
      </c>
      <c r="J796" s="12" t="s">
        <v>165</v>
      </c>
      <c r="K796" s="12" t="s">
        <v>16</v>
      </c>
      <c r="L796" s="12" t="s">
        <v>87</v>
      </c>
      <c r="M796" s="11" t="s">
        <v>88</v>
      </c>
    </row>
    <row r="797" customFormat="false" ht="28.35" hidden="false" customHeight="false" outlineLevel="0" collapsed="false">
      <c r="A797" s="11" t="s">
        <v>1573</v>
      </c>
      <c r="B797" s="12" t="s">
        <v>56</v>
      </c>
      <c r="C797" s="12" t="s">
        <v>55</v>
      </c>
      <c r="D797" s="12" t="n">
        <v>29</v>
      </c>
      <c r="E797" s="12" t="s">
        <v>1560</v>
      </c>
      <c r="F797" s="12" t="s">
        <v>132</v>
      </c>
      <c r="G797" s="12" t="s">
        <v>1574</v>
      </c>
      <c r="H797" s="12" t="s">
        <v>259</v>
      </c>
      <c r="I797" s="12" t="s">
        <v>164</v>
      </c>
      <c r="J797" s="12" t="s">
        <v>165</v>
      </c>
      <c r="K797" s="12" t="s">
        <v>16</v>
      </c>
      <c r="L797" s="12" t="s">
        <v>87</v>
      </c>
      <c r="M797" s="11" t="s">
        <v>88</v>
      </c>
    </row>
    <row r="798" customFormat="false" ht="28.35" hidden="false" customHeight="false" outlineLevel="0" collapsed="false">
      <c r="A798" s="11" t="s">
        <v>1575</v>
      </c>
      <c r="B798" s="12" t="s">
        <v>56</v>
      </c>
      <c r="C798" s="12" t="s">
        <v>55</v>
      </c>
      <c r="D798" s="12" t="n">
        <v>30</v>
      </c>
      <c r="E798" s="12" t="s">
        <v>1560</v>
      </c>
      <c r="F798" s="12" t="s">
        <v>132</v>
      </c>
      <c r="G798" s="12" t="s">
        <v>1576</v>
      </c>
      <c r="H798" s="12" t="s">
        <v>259</v>
      </c>
      <c r="I798" s="12" t="s">
        <v>164</v>
      </c>
      <c r="J798" s="12" t="s">
        <v>165</v>
      </c>
      <c r="K798" s="12" t="s">
        <v>16</v>
      </c>
      <c r="L798" s="12" t="s">
        <v>87</v>
      </c>
      <c r="M798" s="11" t="s">
        <v>88</v>
      </c>
    </row>
    <row r="799" customFormat="false" ht="28.35" hidden="false" customHeight="false" outlineLevel="0" collapsed="false">
      <c r="A799" s="11" t="s">
        <v>1577</v>
      </c>
      <c r="B799" s="12" t="s">
        <v>56</v>
      </c>
      <c r="C799" s="12" t="s">
        <v>55</v>
      </c>
      <c r="D799" s="12" t="n">
        <v>31</v>
      </c>
      <c r="E799" s="12" t="s">
        <v>1560</v>
      </c>
      <c r="F799" s="12" t="s">
        <v>132</v>
      </c>
      <c r="G799" s="12" t="s">
        <v>1578</v>
      </c>
      <c r="H799" s="12" t="s">
        <v>259</v>
      </c>
      <c r="I799" s="12" t="s">
        <v>164</v>
      </c>
      <c r="J799" s="12" t="s">
        <v>165</v>
      </c>
      <c r="K799" s="12" t="s">
        <v>16</v>
      </c>
      <c r="L799" s="12" t="s">
        <v>87</v>
      </c>
      <c r="M799" s="11" t="s">
        <v>88</v>
      </c>
    </row>
    <row r="800" customFormat="false" ht="68.65" hidden="false" customHeight="false" outlineLevel="0" collapsed="false">
      <c r="A800" s="11" t="s">
        <v>1579</v>
      </c>
      <c r="B800" s="12" t="s">
        <v>56</v>
      </c>
      <c r="C800" s="12" t="s">
        <v>55</v>
      </c>
      <c r="D800" s="12" t="n">
        <v>32</v>
      </c>
      <c r="E800" s="12" t="s">
        <v>1560</v>
      </c>
      <c r="F800" s="12" t="s">
        <v>132</v>
      </c>
      <c r="G800" s="12" t="s">
        <v>1580</v>
      </c>
      <c r="H800" s="12" t="s">
        <v>259</v>
      </c>
      <c r="I800" s="12" t="s">
        <v>164</v>
      </c>
      <c r="J800" s="12" t="s">
        <v>165</v>
      </c>
      <c r="K800" s="12" t="s">
        <v>16</v>
      </c>
      <c r="L800" s="12" t="s">
        <v>87</v>
      </c>
      <c r="M800" s="11" t="s">
        <v>88</v>
      </c>
    </row>
    <row r="801" customFormat="false" ht="28.35" hidden="false" customHeight="false" outlineLevel="0" collapsed="false">
      <c r="A801" s="11" t="s">
        <v>1581</v>
      </c>
      <c r="B801" s="12" t="s">
        <v>56</v>
      </c>
      <c r="C801" s="12" t="s">
        <v>55</v>
      </c>
      <c r="D801" s="12" t="n">
        <v>33</v>
      </c>
      <c r="E801" s="12" t="s">
        <v>1560</v>
      </c>
      <c r="F801" s="12" t="s">
        <v>132</v>
      </c>
      <c r="G801" s="12" t="s">
        <v>1582</v>
      </c>
      <c r="H801" s="12" t="s">
        <v>259</v>
      </c>
      <c r="I801" s="12" t="s">
        <v>164</v>
      </c>
      <c r="J801" s="12" t="s">
        <v>165</v>
      </c>
      <c r="K801" s="12" t="s">
        <v>16</v>
      </c>
      <c r="L801" s="12" t="s">
        <v>87</v>
      </c>
      <c r="M801" s="11" t="s">
        <v>88</v>
      </c>
    </row>
    <row r="802" customFormat="false" ht="28.35" hidden="false" customHeight="false" outlineLevel="0" collapsed="false">
      <c r="A802" s="11" t="s">
        <v>1583</v>
      </c>
      <c r="B802" s="12" t="s">
        <v>56</v>
      </c>
      <c r="C802" s="12" t="s">
        <v>55</v>
      </c>
      <c r="D802" s="12" t="n">
        <v>34</v>
      </c>
      <c r="E802" s="12" t="s">
        <v>1560</v>
      </c>
      <c r="F802" s="12" t="s">
        <v>132</v>
      </c>
      <c r="G802" s="12" t="s">
        <v>1584</v>
      </c>
      <c r="H802" s="12" t="s">
        <v>259</v>
      </c>
      <c r="I802" s="12" t="s">
        <v>164</v>
      </c>
      <c r="J802" s="12" t="s">
        <v>165</v>
      </c>
      <c r="K802" s="12" t="s">
        <v>16</v>
      </c>
      <c r="L802" s="12" t="s">
        <v>87</v>
      </c>
      <c r="M802" s="11" t="s">
        <v>88</v>
      </c>
    </row>
    <row r="803" customFormat="false" ht="28.35" hidden="false" customHeight="false" outlineLevel="0" collapsed="false">
      <c r="A803" s="11" t="s">
        <v>1585</v>
      </c>
      <c r="B803" s="12" t="s">
        <v>56</v>
      </c>
      <c r="C803" s="12" t="s">
        <v>55</v>
      </c>
      <c r="D803" s="12" t="n">
        <v>35</v>
      </c>
      <c r="E803" s="12" t="s">
        <v>1560</v>
      </c>
      <c r="F803" s="12" t="s">
        <v>132</v>
      </c>
      <c r="G803" s="12" t="s">
        <v>1586</v>
      </c>
      <c r="H803" s="12" t="s">
        <v>259</v>
      </c>
      <c r="I803" s="12" t="s">
        <v>164</v>
      </c>
      <c r="J803" s="12" t="s">
        <v>165</v>
      </c>
      <c r="K803" s="12" t="s">
        <v>16</v>
      </c>
      <c r="L803" s="12" t="s">
        <v>87</v>
      </c>
      <c r="M803" s="11" t="s">
        <v>88</v>
      </c>
    </row>
    <row r="804" customFormat="false" ht="28.35" hidden="false" customHeight="false" outlineLevel="0" collapsed="false">
      <c r="A804" s="11" t="s">
        <v>1587</v>
      </c>
      <c r="B804" s="12" t="s">
        <v>56</v>
      </c>
      <c r="C804" s="12" t="s">
        <v>55</v>
      </c>
      <c r="D804" s="12" t="n">
        <v>36</v>
      </c>
      <c r="E804" s="12" t="s">
        <v>1560</v>
      </c>
      <c r="F804" s="12" t="s">
        <v>132</v>
      </c>
      <c r="G804" s="12" t="s">
        <v>1588</v>
      </c>
      <c r="H804" s="12" t="s">
        <v>259</v>
      </c>
      <c r="I804" s="12" t="s">
        <v>164</v>
      </c>
      <c r="J804" s="12" t="s">
        <v>165</v>
      </c>
      <c r="K804" s="12" t="s">
        <v>16</v>
      </c>
      <c r="L804" s="12" t="s">
        <v>87</v>
      </c>
      <c r="M804" s="11" t="s">
        <v>88</v>
      </c>
    </row>
    <row r="805" customFormat="false" ht="28.35" hidden="false" customHeight="false" outlineLevel="0" collapsed="false">
      <c r="A805" s="11" t="s">
        <v>1589</v>
      </c>
      <c r="B805" s="12" t="s">
        <v>56</v>
      </c>
      <c r="C805" s="12" t="s">
        <v>55</v>
      </c>
      <c r="D805" s="12" t="n">
        <v>37</v>
      </c>
      <c r="E805" s="12" t="s">
        <v>1560</v>
      </c>
      <c r="F805" s="12" t="s">
        <v>132</v>
      </c>
      <c r="G805" s="12" t="s">
        <v>1590</v>
      </c>
      <c r="H805" s="12" t="s">
        <v>259</v>
      </c>
      <c r="I805" s="12" t="s">
        <v>164</v>
      </c>
      <c r="J805" s="12" t="s">
        <v>165</v>
      </c>
      <c r="K805" s="12" t="s">
        <v>16</v>
      </c>
      <c r="L805" s="12" t="s">
        <v>87</v>
      </c>
      <c r="M805" s="11" t="s">
        <v>88</v>
      </c>
    </row>
    <row r="806" customFormat="false" ht="41.75" hidden="false" customHeight="false" outlineLevel="0" collapsed="false">
      <c r="A806" s="11" t="s">
        <v>1591</v>
      </c>
      <c r="B806" s="12" t="s">
        <v>56</v>
      </c>
      <c r="C806" s="12" t="s">
        <v>55</v>
      </c>
      <c r="D806" s="12" t="n">
        <v>38</v>
      </c>
      <c r="E806" s="12" t="s">
        <v>1560</v>
      </c>
      <c r="F806" s="12" t="s">
        <v>132</v>
      </c>
      <c r="G806" s="12" t="s">
        <v>1592</v>
      </c>
      <c r="H806" s="12" t="s">
        <v>259</v>
      </c>
      <c r="I806" s="12" t="s">
        <v>164</v>
      </c>
      <c r="J806" s="12" t="s">
        <v>165</v>
      </c>
      <c r="K806" s="12" t="s">
        <v>16</v>
      </c>
      <c r="L806" s="12" t="s">
        <v>87</v>
      </c>
      <c r="M806" s="11" t="s">
        <v>88</v>
      </c>
    </row>
    <row r="807" customFormat="false" ht="28.35" hidden="false" customHeight="false" outlineLevel="0" collapsed="false">
      <c r="A807" s="11" t="s">
        <v>1593</v>
      </c>
      <c r="B807" s="12" t="s">
        <v>56</v>
      </c>
      <c r="C807" s="12" t="s">
        <v>55</v>
      </c>
      <c r="D807" s="12" t="n">
        <v>39</v>
      </c>
      <c r="E807" s="12" t="s">
        <v>1560</v>
      </c>
      <c r="F807" s="12" t="s">
        <v>132</v>
      </c>
      <c r="G807" s="12" t="s">
        <v>1594</v>
      </c>
      <c r="H807" s="12" t="s">
        <v>259</v>
      </c>
      <c r="I807" s="12" t="s">
        <v>164</v>
      </c>
      <c r="J807" s="12" t="s">
        <v>165</v>
      </c>
      <c r="K807" s="12" t="s">
        <v>16</v>
      </c>
      <c r="L807" s="12" t="s">
        <v>87</v>
      </c>
      <c r="M807" s="11" t="s">
        <v>88</v>
      </c>
    </row>
    <row r="808" customFormat="false" ht="28.35" hidden="false" customHeight="false" outlineLevel="0" collapsed="false">
      <c r="A808" s="11" t="s">
        <v>1595</v>
      </c>
      <c r="B808" s="12" t="s">
        <v>56</v>
      </c>
      <c r="C808" s="12" t="s">
        <v>55</v>
      </c>
      <c r="D808" s="12" t="n">
        <v>40</v>
      </c>
      <c r="E808" s="12" t="s">
        <v>1560</v>
      </c>
      <c r="F808" s="12" t="s">
        <v>98</v>
      </c>
      <c r="G808" s="12" t="s">
        <v>1596</v>
      </c>
      <c r="H808" s="12" t="s">
        <v>259</v>
      </c>
      <c r="I808" s="12" t="s">
        <v>175</v>
      </c>
      <c r="J808" s="12" t="s">
        <v>176</v>
      </c>
      <c r="K808" s="12" t="s">
        <v>22</v>
      </c>
      <c r="L808" s="12" t="s">
        <v>96</v>
      </c>
      <c r="M808" s="11" t="s">
        <v>88</v>
      </c>
    </row>
    <row r="809" customFormat="false" ht="28.35" hidden="false" customHeight="false" outlineLevel="0" collapsed="false">
      <c r="A809" s="11" t="s">
        <v>1597</v>
      </c>
      <c r="B809" s="12" t="s">
        <v>56</v>
      </c>
      <c r="C809" s="12" t="s">
        <v>55</v>
      </c>
      <c r="D809" s="12" t="n">
        <v>41</v>
      </c>
      <c r="E809" s="12" t="s">
        <v>1598</v>
      </c>
      <c r="F809" s="12" t="s">
        <v>82</v>
      </c>
      <c r="G809" s="12" t="s">
        <v>1598</v>
      </c>
      <c r="H809" s="12" t="s">
        <v>259</v>
      </c>
      <c r="I809" s="12" t="s">
        <v>84</v>
      </c>
      <c r="J809" s="12" t="s">
        <v>85</v>
      </c>
      <c r="K809" s="12" t="s">
        <v>86</v>
      </c>
      <c r="L809" s="12" t="s">
        <v>87</v>
      </c>
      <c r="M809" s="11" t="s">
        <v>88</v>
      </c>
    </row>
    <row r="810" customFormat="false" ht="28.35" hidden="false" customHeight="false" outlineLevel="0" collapsed="false">
      <c r="A810" s="11" t="s">
        <v>1599</v>
      </c>
      <c r="B810" s="12" t="s">
        <v>56</v>
      </c>
      <c r="C810" s="12" t="s">
        <v>55</v>
      </c>
      <c r="D810" s="12" t="n">
        <v>42</v>
      </c>
      <c r="E810" s="12" t="s">
        <v>1598</v>
      </c>
      <c r="F810" s="12" t="s">
        <v>132</v>
      </c>
      <c r="G810" s="12" t="s">
        <v>1600</v>
      </c>
      <c r="H810" s="12" t="s">
        <v>259</v>
      </c>
      <c r="I810" s="12" t="s">
        <v>84</v>
      </c>
      <c r="J810" s="12" t="s">
        <v>85</v>
      </c>
      <c r="K810" s="12" t="s">
        <v>86</v>
      </c>
      <c r="L810" s="12" t="s">
        <v>87</v>
      </c>
      <c r="M810" s="11" t="s">
        <v>88</v>
      </c>
    </row>
    <row r="811" customFormat="false" ht="41.75" hidden="false" customHeight="false" outlineLevel="0" collapsed="false">
      <c r="A811" s="11" t="s">
        <v>1601</v>
      </c>
      <c r="B811" s="12" t="s">
        <v>56</v>
      </c>
      <c r="C811" s="12" t="s">
        <v>55</v>
      </c>
      <c r="D811" s="12" t="n">
        <v>43</v>
      </c>
      <c r="E811" s="12" t="s">
        <v>1598</v>
      </c>
      <c r="F811" s="12" t="s">
        <v>132</v>
      </c>
      <c r="G811" s="12" t="s">
        <v>216</v>
      </c>
      <c r="H811" s="12" t="s">
        <v>259</v>
      </c>
      <c r="I811" s="12" t="s">
        <v>84</v>
      </c>
      <c r="J811" s="12" t="s">
        <v>85</v>
      </c>
      <c r="K811" s="12" t="s">
        <v>86</v>
      </c>
      <c r="L811" s="12" t="s">
        <v>87</v>
      </c>
      <c r="M811" s="11" t="s">
        <v>88</v>
      </c>
    </row>
    <row r="812" customFormat="false" ht="28.35" hidden="false" customHeight="false" outlineLevel="0" collapsed="false">
      <c r="A812" s="11" t="s">
        <v>1602</v>
      </c>
      <c r="B812" s="12" t="s">
        <v>56</v>
      </c>
      <c r="C812" s="12" t="s">
        <v>55</v>
      </c>
      <c r="D812" s="12" t="n">
        <v>44</v>
      </c>
      <c r="E812" s="12" t="s">
        <v>1598</v>
      </c>
      <c r="F812" s="12" t="s">
        <v>132</v>
      </c>
      <c r="G812" s="12" t="s">
        <v>1603</v>
      </c>
      <c r="H812" s="12" t="s">
        <v>259</v>
      </c>
      <c r="I812" s="12" t="s">
        <v>84</v>
      </c>
      <c r="J812" s="12" t="s">
        <v>85</v>
      </c>
      <c r="K812" s="12" t="s">
        <v>86</v>
      </c>
      <c r="L812" s="12" t="s">
        <v>87</v>
      </c>
      <c r="M812" s="11" t="s">
        <v>88</v>
      </c>
    </row>
    <row r="813" customFormat="false" ht="28.35" hidden="false" customHeight="false" outlineLevel="0" collapsed="false">
      <c r="A813" s="11" t="s">
        <v>1604</v>
      </c>
      <c r="B813" s="12" t="s">
        <v>56</v>
      </c>
      <c r="C813" s="12" t="s">
        <v>55</v>
      </c>
      <c r="D813" s="12" t="n">
        <v>45</v>
      </c>
      <c r="E813" s="12" t="s">
        <v>1598</v>
      </c>
      <c r="F813" s="12" t="s">
        <v>132</v>
      </c>
      <c r="G813" s="12" t="s">
        <v>1605</v>
      </c>
      <c r="H813" s="12" t="s">
        <v>259</v>
      </c>
      <c r="I813" s="12" t="s">
        <v>84</v>
      </c>
      <c r="J813" s="12" t="s">
        <v>85</v>
      </c>
      <c r="K813" s="12" t="s">
        <v>86</v>
      </c>
      <c r="L813" s="12" t="s">
        <v>87</v>
      </c>
      <c r="M813" s="11" t="s">
        <v>88</v>
      </c>
    </row>
    <row r="814" customFormat="false" ht="28.35" hidden="false" customHeight="false" outlineLevel="0" collapsed="false">
      <c r="A814" s="11" t="s">
        <v>1606</v>
      </c>
      <c r="B814" s="12" t="s">
        <v>56</v>
      </c>
      <c r="C814" s="12" t="s">
        <v>55</v>
      </c>
      <c r="D814" s="12" t="n">
        <v>46</v>
      </c>
      <c r="E814" s="12" t="s">
        <v>1598</v>
      </c>
      <c r="F814" s="12" t="s">
        <v>132</v>
      </c>
      <c r="G814" s="12" t="s">
        <v>1607</v>
      </c>
      <c r="H814" s="12" t="s">
        <v>259</v>
      </c>
      <c r="I814" s="12" t="s">
        <v>84</v>
      </c>
      <c r="J814" s="12" t="s">
        <v>85</v>
      </c>
      <c r="K814" s="12" t="s">
        <v>86</v>
      </c>
      <c r="L814" s="12" t="s">
        <v>87</v>
      </c>
      <c r="M814" s="11" t="s">
        <v>88</v>
      </c>
    </row>
    <row r="815" customFormat="false" ht="28.35" hidden="false" customHeight="false" outlineLevel="0" collapsed="false">
      <c r="A815" s="11" t="s">
        <v>1608</v>
      </c>
      <c r="B815" s="12" t="s">
        <v>56</v>
      </c>
      <c r="C815" s="12" t="s">
        <v>55</v>
      </c>
      <c r="D815" s="12" t="n">
        <v>47</v>
      </c>
      <c r="E815" s="12" t="s">
        <v>1598</v>
      </c>
      <c r="F815" s="12" t="s">
        <v>132</v>
      </c>
      <c r="G815" s="12" t="s">
        <v>1609</v>
      </c>
      <c r="H815" s="12" t="s">
        <v>259</v>
      </c>
      <c r="I815" s="12" t="s">
        <v>84</v>
      </c>
      <c r="J815" s="12" t="s">
        <v>85</v>
      </c>
      <c r="K815" s="12" t="s">
        <v>86</v>
      </c>
      <c r="L815" s="12" t="s">
        <v>87</v>
      </c>
      <c r="M815" s="11" t="s">
        <v>88</v>
      </c>
    </row>
    <row r="816" customFormat="false" ht="28.35" hidden="false" customHeight="false" outlineLevel="0" collapsed="false">
      <c r="A816" s="11" t="s">
        <v>1610</v>
      </c>
      <c r="B816" s="12" t="s">
        <v>56</v>
      </c>
      <c r="C816" s="12" t="s">
        <v>55</v>
      </c>
      <c r="D816" s="12" t="n">
        <v>48</v>
      </c>
      <c r="E816" s="12" t="s">
        <v>1598</v>
      </c>
      <c r="F816" s="12" t="s">
        <v>132</v>
      </c>
      <c r="G816" s="12" t="s">
        <v>1611</v>
      </c>
      <c r="H816" s="12" t="s">
        <v>259</v>
      </c>
      <c r="I816" s="12" t="s">
        <v>84</v>
      </c>
      <c r="J816" s="12" t="s">
        <v>85</v>
      </c>
      <c r="K816" s="12" t="s">
        <v>86</v>
      </c>
      <c r="L816" s="12" t="s">
        <v>87</v>
      </c>
      <c r="M816" s="11" t="s">
        <v>88</v>
      </c>
    </row>
    <row r="817" customFormat="false" ht="28.35" hidden="false" customHeight="false" outlineLevel="0" collapsed="false">
      <c r="A817" s="11" t="s">
        <v>1612</v>
      </c>
      <c r="B817" s="12" t="s">
        <v>56</v>
      </c>
      <c r="C817" s="12" t="s">
        <v>55</v>
      </c>
      <c r="D817" s="12" t="n">
        <v>49</v>
      </c>
      <c r="E817" s="12" t="s">
        <v>1598</v>
      </c>
      <c r="F817" s="12" t="s">
        <v>132</v>
      </c>
      <c r="G817" s="12" t="s">
        <v>1613</v>
      </c>
      <c r="H817" s="12" t="s">
        <v>259</v>
      </c>
      <c r="I817" s="12" t="s">
        <v>84</v>
      </c>
      <c r="J817" s="12" t="s">
        <v>85</v>
      </c>
      <c r="K817" s="12" t="s">
        <v>86</v>
      </c>
      <c r="L817" s="12" t="s">
        <v>87</v>
      </c>
      <c r="M817" s="11" t="s">
        <v>88</v>
      </c>
    </row>
    <row r="818" customFormat="false" ht="28.35" hidden="false" customHeight="false" outlineLevel="0" collapsed="false">
      <c r="A818" s="11" t="s">
        <v>1614</v>
      </c>
      <c r="B818" s="12" t="s">
        <v>56</v>
      </c>
      <c r="C818" s="12" t="s">
        <v>55</v>
      </c>
      <c r="D818" s="12" t="n">
        <v>50</v>
      </c>
      <c r="E818" s="12" t="s">
        <v>1615</v>
      </c>
      <c r="F818" s="12" t="s">
        <v>82</v>
      </c>
      <c r="G818" s="12" t="s">
        <v>1615</v>
      </c>
      <c r="H818" s="12" t="s">
        <v>259</v>
      </c>
      <c r="I818" s="12" t="s">
        <v>168</v>
      </c>
      <c r="J818" s="12" t="s">
        <v>169</v>
      </c>
      <c r="K818" s="12" t="s">
        <v>31</v>
      </c>
      <c r="L818" s="12" t="s">
        <v>96</v>
      </c>
      <c r="M818" s="11" t="s">
        <v>170</v>
      </c>
    </row>
    <row r="819" customFormat="false" ht="28.35" hidden="false" customHeight="false" outlineLevel="0" collapsed="false">
      <c r="A819" s="11" t="s">
        <v>1616</v>
      </c>
      <c r="B819" s="12" t="s">
        <v>56</v>
      </c>
      <c r="C819" s="12" t="s">
        <v>55</v>
      </c>
      <c r="D819" s="12" t="n">
        <v>51</v>
      </c>
      <c r="E819" s="12" t="s">
        <v>1617</v>
      </c>
      <c r="F819" s="12" t="s">
        <v>82</v>
      </c>
      <c r="G819" s="12" t="s">
        <v>1617</v>
      </c>
      <c r="H819" s="12" t="s">
        <v>259</v>
      </c>
      <c r="I819" s="12" t="s">
        <v>158</v>
      </c>
      <c r="J819" s="12" t="s">
        <v>159</v>
      </c>
      <c r="K819" s="12" t="s">
        <v>19</v>
      </c>
      <c r="L819" s="12" t="s">
        <v>87</v>
      </c>
      <c r="M819" s="11" t="s">
        <v>88</v>
      </c>
    </row>
    <row r="820" customFormat="false" ht="41.75" hidden="false" customHeight="false" outlineLevel="0" collapsed="false">
      <c r="A820" s="11" t="s">
        <v>1618</v>
      </c>
      <c r="B820" s="12" t="s">
        <v>56</v>
      </c>
      <c r="C820" s="12" t="s">
        <v>55</v>
      </c>
      <c r="D820" s="12" t="n">
        <v>52</v>
      </c>
      <c r="E820" s="12" t="s">
        <v>1617</v>
      </c>
      <c r="F820" s="12" t="s">
        <v>132</v>
      </c>
      <c r="G820" s="12" t="s">
        <v>1619</v>
      </c>
      <c r="H820" s="12" t="s">
        <v>259</v>
      </c>
      <c r="I820" s="12" t="s">
        <v>164</v>
      </c>
      <c r="J820" s="12" t="s">
        <v>165</v>
      </c>
      <c r="K820" s="12" t="s">
        <v>16</v>
      </c>
      <c r="L820" s="12" t="s">
        <v>87</v>
      </c>
      <c r="M820" s="11" t="s">
        <v>88</v>
      </c>
    </row>
    <row r="821" customFormat="false" ht="28.35" hidden="false" customHeight="false" outlineLevel="0" collapsed="false">
      <c r="A821" s="11" t="s">
        <v>1620</v>
      </c>
      <c r="B821" s="12" t="s">
        <v>56</v>
      </c>
      <c r="C821" s="12" t="s">
        <v>55</v>
      </c>
      <c r="D821" s="12" t="n">
        <v>53</v>
      </c>
      <c r="E821" s="12" t="s">
        <v>1617</v>
      </c>
      <c r="F821" s="12" t="s">
        <v>132</v>
      </c>
      <c r="G821" s="12" t="s">
        <v>167</v>
      </c>
      <c r="H821" s="12" t="s">
        <v>259</v>
      </c>
      <c r="I821" s="12" t="s">
        <v>168</v>
      </c>
      <c r="J821" s="12" t="s">
        <v>169</v>
      </c>
      <c r="K821" s="12" t="s">
        <v>31</v>
      </c>
      <c r="L821" s="12" t="s">
        <v>96</v>
      </c>
      <c r="M821" s="11" t="s">
        <v>170</v>
      </c>
    </row>
    <row r="822" customFormat="false" ht="122.35" hidden="false" customHeight="false" outlineLevel="0" collapsed="false">
      <c r="A822" s="11" t="s">
        <v>1621</v>
      </c>
      <c r="B822" s="12" t="s">
        <v>56</v>
      </c>
      <c r="C822" s="12" t="s">
        <v>55</v>
      </c>
      <c r="D822" s="12" t="n">
        <v>54</v>
      </c>
      <c r="E822" s="12" t="s">
        <v>1617</v>
      </c>
      <c r="F822" s="12" t="s">
        <v>98</v>
      </c>
      <c r="G822" s="12" t="s">
        <v>1622</v>
      </c>
      <c r="H822" s="12" t="s">
        <v>259</v>
      </c>
      <c r="I822" s="12" t="s">
        <v>168</v>
      </c>
      <c r="J822" s="12" t="s">
        <v>169</v>
      </c>
      <c r="K822" s="12" t="s">
        <v>31</v>
      </c>
      <c r="L822" s="12" t="s">
        <v>96</v>
      </c>
      <c r="M822" s="11" t="s">
        <v>170</v>
      </c>
    </row>
    <row r="823" customFormat="false" ht="28.35" hidden="false" customHeight="false" outlineLevel="0" collapsed="false">
      <c r="A823" s="11" t="s">
        <v>1623</v>
      </c>
      <c r="B823" s="12" t="s">
        <v>56</v>
      </c>
      <c r="C823" s="12" t="s">
        <v>55</v>
      </c>
      <c r="D823" s="12" t="n">
        <v>55</v>
      </c>
      <c r="E823" s="12" t="s">
        <v>1617</v>
      </c>
      <c r="F823" s="12" t="s">
        <v>98</v>
      </c>
      <c r="G823" s="12" t="s">
        <v>1624</v>
      </c>
      <c r="H823" s="12" t="s">
        <v>259</v>
      </c>
      <c r="I823" s="12" t="s">
        <v>175</v>
      </c>
      <c r="J823" s="12" t="s">
        <v>176</v>
      </c>
      <c r="K823" s="12" t="s">
        <v>22</v>
      </c>
      <c r="L823" s="12" t="s">
        <v>96</v>
      </c>
      <c r="M823" s="11" t="s">
        <v>88</v>
      </c>
    </row>
    <row r="824" customFormat="false" ht="28.35" hidden="false" customHeight="false" outlineLevel="0" collapsed="false">
      <c r="A824" s="11" t="s">
        <v>1625</v>
      </c>
      <c r="B824" s="12" t="s">
        <v>56</v>
      </c>
      <c r="C824" s="12" t="s">
        <v>55</v>
      </c>
      <c r="D824" s="12" t="n">
        <v>56</v>
      </c>
      <c r="E824" s="12" t="s">
        <v>1617</v>
      </c>
      <c r="F824" s="12" t="s">
        <v>132</v>
      </c>
      <c r="G824" s="12" t="s">
        <v>1626</v>
      </c>
      <c r="H824" s="12" t="s">
        <v>259</v>
      </c>
      <c r="I824" s="12" t="s">
        <v>164</v>
      </c>
      <c r="J824" s="12" t="s">
        <v>165</v>
      </c>
      <c r="K824" s="12" t="s">
        <v>16</v>
      </c>
      <c r="L824" s="12" t="s">
        <v>87</v>
      </c>
      <c r="M824" s="11" t="s">
        <v>88</v>
      </c>
    </row>
    <row r="825" customFormat="false" ht="28.35" hidden="false" customHeight="false" outlineLevel="0" collapsed="false">
      <c r="A825" s="11" t="s">
        <v>1627</v>
      </c>
      <c r="B825" s="12" t="s">
        <v>56</v>
      </c>
      <c r="C825" s="12" t="s">
        <v>55</v>
      </c>
      <c r="D825" s="12" t="n">
        <v>57</v>
      </c>
      <c r="E825" s="12" t="s">
        <v>1628</v>
      </c>
      <c r="F825" s="12" t="s">
        <v>82</v>
      </c>
      <c r="G825" s="12" t="s">
        <v>1628</v>
      </c>
      <c r="H825" s="12" t="s">
        <v>259</v>
      </c>
      <c r="I825" s="12" t="s">
        <v>158</v>
      </c>
      <c r="J825" s="12" t="s">
        <v>159</v>
      </c>
      <c r="K825" s="12" t="s">
        <v>19</v>
      </c>
      <c r="L825" s="12" t="s">
        <v>87</v>
      </c>
      <c r="M825" s="11" t="s">
        <v>88</v>
      </c>
    </row>
    <row r="826" customFormat="false" ht="28.35" hidden="false" customHeight="false" outlineLevel="0" collapsed="false">
      <c r="A826" s="11" t="s">
        <v>1629</v>
      </c>
      <c r="B826" s="12" t="s">
        <v>56</v>
      </c>
      <c r="C826" s="12" t="s">
        <v>55</v>
      </c>
      <c r="D826" s="12" t="n">
        <v>58</v>
      </c>
      <c r="E826" s="12" t="s">
        <v>1628</v>
      </c>
      <c r="F826" s="12" t="s">
        <v>132</v>
      </c>
      <c r="G826" s="12" t="s">
        <v>1630</v>
      </c>
      <c r="H826" s="12" t="s">
        <v>259</v>
      </c>
      <c r="I826" s="12" t="s">
        <v>164</v>
      </c>
      <c r="J826" s="12" t="s">
        <v>165</v>
      </c>
      <c r="K826" s="12" t="s">
        <v>16</v>
      </c>
      <c r="L826" s="12" t="s">
        <v>87</v>
      </c>
      <c r="M826" s="11" t="s">
        <v>88</v>
      </c>
    </row>
    <row r="827" customFormat="false" ht="28.35" hidden="false" customHeight="false" outlineLevel="0" collapsed="false">
      <c r="A827" s="11" t="s">
        <v>1631</v>
      </c>
      <c r="B827" s="12" t="s">
        <v>56</v>
      </c>
      <c r="C827" s="12" t="s">
        <v>55</v>
      </c>
      <c r="D827" s="12" t="n">
        <v>59</v>
      </c>
      <c r="E827" s="12" t="s">
        <v>1632</v>
      </c>
      <c r="F827" s="12" t="s">
        <v>82</v>
      </c>
      <c r="G827" s="12" t="s">
        <v>1632</v>
      </c>
      <c r="H827" s="12" t="s">
        <v>259</v>
      </c>
      <c r="I827" s="12" t="s">
        <v>158</v>
      </c>
      <c r="J827" s="12" t="s">
        <v>159</v>
      </c>
      <c r="K827" s="12" t="s">
        <v>19</v>
      </c>
      <c r="L827" s="12" t="s">
        <v>87</v>
      </c>
      <c r="M827" s="11" t="s">
        <v>88</v>
      </c>
    </row>
    <row r="828" customFormat="false" ht="28.35" hidden="false" customHeight="false" outlineLevel="0" collapsed="false">
      <c r="A828" s="11" t="s">
        <v>1633</v>
      </c>
      <c r="B828" s="12" t="s">
        <v>56</v>
      </c>
      <c r="C828" s="12" t="s">
        <v>55</v>
      </c>
      <c r="D828" s="12" t="n">
        <v>60</v>
      </c>
      <c r="E828" s="12" t="s">
        <v>1632</v>
      </c>
      <c r="F828" s="12" t="s">
        <v>132</v>
      </c>
      <c r="G828" s="12" t="s">
        <v>1634</v>
      </c>
      <c r="H828" s="12" t="s">
        <v>259</v>
      </c>
      <c r="I828" s="12" t="s">
        <v>164</v>
      </c>
      <c r="J828" s="12" t="s">
        <v>165</v>
      </c>
      <c r="K828" s="12" t="s">
        <v>16</v>
      </c>
      <c r="L828" s="12" t="s">
        <v>87</v>
      </c>
      <c r="M828" s="11" t="s">
        <v>88</v>
      </c>
    </row>
    <row r="829" customFormat="false" ht="28.35" hidden="false" customHeight="false" outlineLevel="0" collapsed="false">
      <c r="A829" s="11" t="s">
        <v>1635</v>
      </c>
      <c r="B829" s="12" t="s">
        <v>56</v>
      </c>
      <c r="C829" s="12" t="s">
        <v>55</v>
      </c>
      <c r="D829" s="12" t="n">
        <v>61</v>
      </c>
      <c r="E829" s="12" t="s">
        <v>1632</v>
      </c>
      <c r="F829" s="12" t="s">
        <v>132</v>
      </c>
      <c r="G829" s="12" t="s">
        <v>1636</v>
      </c>
      <c r="H829" s="12" t="s">
        <v>259</v>
      </c>
      <c r="I829" s="12" t="s">
        <v>164</v>
      </c>
      <c r="J829" s="12" t="s">
        <v>165</v>
      </c>
      <c r="K829" s="12" t="s">
        <v>16</v>
      </c>
      <c r="L829" s="12" t="s">
        <v>87</v>
      </c>
      <c r="M829" s="11" t="s">
        <v>88</v>
      </c>
    </row>
    <row r="830" customFormat="false" ht="28.35" hidden="false" customHeight="false" outlineLevel="0" collapsed="false">
      <c r="A830" s="11" t="s">
        <v>1637</v>
      </c>
      <c r="B830" s="12" t="s">
        <v>56</v>
      </c>
      <c r="C830" s="12" t="s">
        <v>55</v>
      </c>
      <c r="D830" s="12" t="n">
        <v>62</v>
      </c>
      <c r="E830" s="12" t="s">
        <v>1632</v>
      </c>
      <c r="F830" s="12" t="s">
        <v>132</v>
      </c>
      <c r="G830" s="12" t="s">
        <v>1638</v>
      </c>
      <c r="H830" s="12" t="s">
        <v>259</v>
      </c>
      <c r="I830" s="12" t="s">
        <v>164</v>
      </c>
      <c r="J830" s="12" t="s">
        <v>165</v>
      </c>
      <c r="K830" s="12" t="s">
        <v>16</v>
      </c>
      <c r="L830" s="12" t="s">
        <v>87</v>
      </c>
      <c r="M830" s="11" t="s">
        <v>88</v>
      </c>
    </row>
    <row r="831" customFormat="false" ht="28.35" hidden="false" customHeight="false" outlineLevel="0" collapsed="false">
      <c r="A831" s="11" t="s">
        <v>1639</v>
      </c>
      <c r="B831" s="12" t="s">
        <v>56</v>
      </c>
      <c r="C831" s="12" t="s">
        <v>55</v>
      </c>
      <c r="D831" s="12" t="n">
        <v>63</v>
      </c>
      <c r="E831" s="12" t="s">
        <v>1632</v>
      </c>
      <c r="F831" s="12" t="s">
        <v>132</v>
      </c>
      <c r="G831" s="12" t="s">
        <v>1640</v>
      </c>
      <c r="H831" s="12" t="s">
        <v>259</v>
      </c>
      <c r="I831" s="12" t="s">
        <v>164</v>
      </c>
      <c r="J831" s="12" t="s">
        <v>165</v>
      </c>
      <c r="K831" s="12" t="s">
        <v>16</v>
      </c>
      <c r="L831" s="12" t="s">
        <v>87</v>
      </c>
      <c r="M831" s="11" t="s">
        <v>88</v>
      </c>
    </row>
    <row r="832" customFormat="false" ht="28.35" hidden="false" customHeight="false" outlineLevel="0" collapsed="false">
      <c r="A832" s="11" t="s">
        <v>1641</v>
      </c>
      <c r="B832" s="12" t="s">
        <v>56</v>
      </c>
      <c r="C832" s="12" t="s">
        <v>55</v>
      </c>
      <c r="D832" s="12" t="n">
        <v>64</v>
      </c>
      <c r="E832" s="12" t="s">
        <v>1632</v>
      </c>
      <c r="F832" s="12" t="s">
        <v>132</v>
      </c>
      <c r="G832" s="12" t="s">
        <v>1642</v>
      </c>
      <c r="H832" s="12" t="s">
        <v>259</v>
      </c>
      <c r="I832" s="12" t="s">
        <v>164</v>
      </c>
      <c r="J832" s="12" t="s">
        <v>165</v>
      </c>
      <c r="K832" s="12" t="s">
        <v>16</v>
      </c>
      <c r="L832" s="12" t="s">
        <v>87</v>
      </c>
      <c r="M832" s="11" t="s">
        <v>88</v>
      </c>
    </row>
    <row r="833" customFormat="false" ht="28.35" hidden="false" customHeight="false" outlineLevel="0" collapsed="false">
      <c r="A833" s="11" t="s">
        <v>1643</v>
      </c>
      <c r="B833" s="12" t="s">
        <v>56</v>
      </c>
      <c r="C833" s="12" t="s">
        <v>55</v>
      </c>
      <c r="D833" s="12" t="n">
        <v>65</v>
      </c>
      <c r="E833" s="12" t="s">
        <v>1644</v>
      </c>
      <c r="F833" s="12" t="s">
        <v>82</v>
      </c>
      <c r="G833" s="12" t="s">
        <v>1644</v>
      </c>
      <c r="H833" s="12" t="s">
        <v>259</v>
      </c>
      <c r="I833" s="12" t="s">
        <v>158</v>
      </c>
      <c r="J833" s="12" t="s">
        <v>159</v>
      </c>
      <c r="K833" s="12" t="s">
        <v>19</v>
      </c>
      <c r="L833" s="12" t="s">
        <v>87</v>
      </c>
      <c r="M833" s="11" t="s">
        <v>88</v>
      </c>
    </row>
    <row r="834" customFormat="false" ht="28.35" hidden="false" customHeight="false" outlineLevel="0" collapsed="false">
      <c r="A834" s="11" t="s">
        <v>1645</v>
      </c>
      <c r="B834" s="12" t="s">
        <v>56</v>
      </c>
      <c r="C834" s="12" t="s">
        <v>55</v>
      </c>
      <c r="D834" s="12" t="n">
        <v>66</v>
      </c>
      <c r="E834" s="12" t="s">
        <v>1644</v>
      </c>
      <c r="F834" s="12" t="s">
        <v>132</v>
      </c>
      <c r="G834" s="12" t="s">
        <v>1646</v>
      </c>
      <c r="H834" s="12" t="s">
        <v>259</v>
      </c>
      <c r="I834" s="12" t="s">
        <v>164</v>
      </c>
      <c r="J834" s="12" t="s">
        <v>165</v>
      </c>
      <c r="K834" s="12" t="s">
        <v>16</v>
      </c>
      <c r="L834" s="12" t="s">
        <v>87</v>
      </c>
      <c r="M834" s="11" t="s">
        <v>88</v>
      </c>
    </row>
    <row r="835" customFormat="false" ht="28.35" hidden="false" customHeight="false" outlineLevel="0" collapsed="false">
      <c r="A835" s="11" t="s">
        <v>1647</v>
      </c>
      <c r="B835" s="12" t="s">
        <v>56</v>
      </c>
      <c r="C835" s="12" t="s">
        <v>55</v>
      </c>
      <c r="D835" s="12" t="n">
        <v>67</v>
      </c>
      <c r="E835" s="12" t="s">
        <v>1644</v>
      </c>
      <c r="F835" s="12" t="s">
        <v>132</v>
      </c>
      <c r="G835" s="12" t="s">
        <v>1648</v>
      </c>
      <c r="H835" s="12" t="s">
        <v>259</v>
      </c>
      <c r="I835" s="12" t="s">
        <v>164</v>
      </c>
      <c r="J835" s="12" t="s">
        <v>165</v>
      </c>
      <c r="K835" s="12" t="s">
        <v>16</v>
      </c>
      <c r="L835" s="12" t="s">
        <v>87</v>
      </c>
      <c r="M835" s="11" t="s">
        <v>88</v>
      </c>
    </row>
    <row r="836" customFormat="false" ht="28.35" hidden="false" customHeight="false" outlineLevel="0" collapsed="false">
      <c r="A836" s="11" t="s">
        <v>1649</v>
      </c>
      <c r="B836" s="12" t="s">
        <v>56</v>
      </c>
      <c r="C836" s="12" t="s">
        <v>55</v>
      </c>
      <c r="D836" s="12" t="n">
        <v>68</v>
      </c>
      <c r="E836" s="12" t="s">
        <v>1644</v>
      </c>
      <c r="F836" s="12" t="s">
        <v>132</v>
      </c>
      <c r="G836" s="12" t="s">
        <v>1650</v>
      </c>
      <c r="H836" s="12" t="s">
        <v>259</v>
      </c>
      <c r="I836" s="12" t="s">
        <v>164</v>
      </c>
      <c r="J836" s="12" t="s">
        <v>165</v>
      </c>
      <c r="K836" s="12" t="s">
        <v>16</v>
      </c>
      <c r="L836" s="12" t="s">
        <v>87</v>
      </c>
      <c r="M836" s="11" t="s">
        <v>88</v>
      </c>
    </row>
    <row r="837" customFormat="false" ht="28.35" hidden="false" customHeight="false" outlineLevel="0" collapsed="false">
      <c r="A837" s="11" t="s">
        <v>1651</v>
      </c>
      <c r="B837" s="12" t="s">
        <v>56</v>
      </c>
      <c r="C837" s="12" t="s">
        <v>55</v>
      </c>
      <c r="D837" s="12" t="n">
        <v>69</v>
      </c>
      <c r="E837" s="12" t="s">
        <v>1644</v>
      </c>
      <c r="F837" s="12" t="s">
        <v>132</v>
      </c>
      <c r="G837" s="12" t="s">
        <v>1642</v>
      </c>
      <c r="H837" s="12" t="s">
        <v>259</v>
      </c>
      <c r="I837" s="12" t="s">
        <v>164</v>
      </c>
      <c r="J837" s="12" t="s">
        <v>165</v>
      </c>
      <c r="K837" s="12" t="s">
        <v>16</v>
      </c>
      <c r="L837" s="12" t="s">
        <v>87</v>
      </c>
      <c r="M837" s="11" t="s">
        <v>88</v>
      </c>
    </row>
    <row r="838" customFormat="false" ht="28.35" hidden="false" customHeight="false" outlineLevel="0" collapsed="false">
      <c r="A838" s="11" t="s">
        <v>1652</v>
      </c>
      <c r="B838" s="12" t="s">
        <v>56</v>
      </c>
      <c r="C838" s="12" t="s">
        <v>55</v>
      </c>
      <c r="D838" s="12" t="n">
        <v>70</v>
      </c>
      <c r="E838" s="12" t="s">
        <v>1653</v>
      </c>
      <c r="F838" s="12" t="s">
        <v>82</v>
      </c>
      <c r="G838" s="12" t="s">
        <v>1653</v>
      </c>
      <c r="H838" s="12" t="s">
        <v>259</v>
      </c>
      <c r="I838" s="12" t="s">
        <v>158</v>
      </c>
      <c r="J838" s="12" t="s">
        <v>159</v>
      </c>
      <c r="K838" s="12" t="s">
        <v>19</v>
      </c>
      <c r="L838" s="12" t="s">
        <v>87</v>
      </c>
      <c r="M838" s="11" t="s">
        <v>88</v>
      </c>
    </row>
    <row r="839" customFormat="false" ht="28.35" hidden="false" customHeight="false" outlineLevel="0" collapsed="false">
      <c r="A839" s="11" t="s">
        <v>1654</v>
      </c>
      <c r="B839" s="12" t="s">
        <v>56</v>
      </c>
      <c r="C839" s="12" t="s">
        <v>55</v>
      </c>
      <c r="D839" s="12" t="n">
        <v>71</v>
      </c>
      <c r="E839" s="12" t="s">
        <v>1653</v>
      </c>
      <c r="F839" s="12" t="s">
        <v>132</v>
      </c>
      <c r="G839" s="12" t="s">
        <v>1655</v>
      </c>
      <c r="H839" s="12" t="s">
        <v>259</v>
      </c>
      <c r="I839" s="12" t="s">
        <v>164</v>
      </c>
      <c r="J839" s="12" t="s">
        <v>165</v>
      </c>
      <c r="K839" s="12" t="s">
        <v>16</v>
      </c>
      <c r="L839" s="12" t="s">
        <v>87</v>
      </c>
      <c r="M839" s="11" t="s">
        <v>88</v>
      </c>
    </row>
    <row r="840" customFormat="false" ht="28.35" hidden="false" customHeight="false" outlineLevel="0" collapsed="false">
      <c r="A840" s="11" t="s">
        <v>1656</v>
      </c>
      <c r="B840" s="12" t="s">
        <v>56</v>
      </c>
      <c r="C840" s="12" t="s">
        <v>55</v>
      </c>
      <c r="D840" s="12" t="n">
        <v>72</v>
      </c>
      <c r="E840" s="12" t="s">
        <v>1653</v>
      </c>
      <c r="F840" s="12" t="s">
        <v>132</v>
      </c>
      <c r="G840" s="12" t="s">
        <v>1657</v>
      </c>
      <c r="H840" s="12" t="s">
        <v>259</v>
      </c>
      <c r="I840" s="12" t="s">
        <v>164</v>
      </c>
      <c r="J840" s="12" t="s">
        <v>165</v>
      </c>
      <c r="K840" s="12" t="s">
        <v>16</v>
      </c>
      <c r="L840" s="12" t="s">
        <v>87</v>
      </c>
      <c r="M840" s="11" t="s">
        <v>88</v>
      </c>
    </row>
    <row r="841" customFormat="false" ht="28.35" hidden="false" customHeight="false" outlineLevel="0" collapsed="false">
      <c r="A841" s="11" t="s">
        <v>1658</v>
      </c>
      <c r="B841" s="12" t="s">
        <v>56</v>
      </c>
      <c r="C841" s="12" t="s">
        <v>55</v>
      </c>
      <c r="D841" s="12" t="n">
        <v>73</v>
      </c>
      <c r="E841" s="12" t="s">
        <v>1653</v>
      </c>
      <c r="F841" s="12" t="s">
        <v>132</v>
      </c>
      <c r="G841" s="12" t="s">
        <v>1659</v>
      </c>
      <c r="H841" s="12" t="s">
        <v>259</v>
      </c>
      <c r="I841" s="12" t="s">
        <v>164</v>
      </c>
      <c r="J841" s="12" t="s">
        <v>165</v>
      </c>
      <c r="K841" s="12" t="s">
        <v>16</v>
      </c>
      <c r="L841" s="12" t="s">
        <v>87</v>
      </c>
      <c r="M841" s="11" t="s">
        <v>88</v>
      </c>
    </row>
    <row r="842" customFormat="false" ht="28.35" hidden="false" customHeight="false" outlineLevel="0" collapsed="false">
      <c r="A842" s="11" t="s">
        <v>1660</v>
      </c>
      <c r="B842" s="12" t="s">
        <v>56</v>
      </c>
      <c r="C842" s="12" t="s">
        <v>55</v>
      </c>
      <c r="D842" s="12" t="n">
        <v>74</v>
      </c>
      <c r="E842" s="12" t="s">
        <v>1653</v>
      </c>
      <c r="F842" s="12" t="s">
        <v>132</v>
      </c>
      <c r="G842" s="12" t="s">
        <v>1642</v>
      </c>
      <c r="H842" s="12" t="s">
        <v>259</v>
      </c>
      <c r="I842" s="12" t="s">
        <v>164</v>
      </c>
      <c r="J842" s="12" t="s">
        <v>165</v>
      </c>
      <c r="K842" s="12" t="s">
        <v>16</v>
      </c>
      <c r="L842" s="12" t="s">
        <v>87</v>
      </c>
      <c r="M842" s="11" t="s">
        <v>88</v>
      </c>
    </row>
    <row r="843" customFormat="false" ht="28.35" hidden="false" customHeight="false" outlineLevel="0" collapsed="false">
      <c r="A843" s="11" t="s">
        <v>1661</v>
      </c>
      <c r="B843" s="12" t="s">
        <v>56</v>
      </c>
      <c r="C843" s="12" t="s">
        <v>55</v>
      </c>
      <c r="D843" s="12" t="n">
        <v>75</v>
      </c>
      <c r="E843" s="12" t="s">
        <v>1653</v>
      </c>
      <c r="F843" s="12" t="s">
        <v>98</v>
      </c>
      <c r="G843" s="12" t="s">
        <v>1662</v>
      </c>
      <c r="H843" s="12" t="s">
        <v>259</v>
      </c>
      <c r="I843" s="12" t="s">
        <v>175</v>
      </c>
      <c r="J843" s="12" t="s">
        <v>176</v>
      </c>
      <c r="K843" s="12" t="s">
        <v>22</v>
      </c>
      <c r="L843" s="12" t="s">
        <v>96</v>
      </c>
      <c r="M843" s="11" t="s">
        <v>88</v>
      </c>
    </row>
    <row r="844" customFormat="false" ht="28.35" hidden="false" customHeight="false" outlineLevel="0" collapsed="false">
      <c r="A844" s="11" t="s">
        <v>1663</v>
      </c>
      <c r="B844" s="12" t="s">
        <v>56</v>
      </c>
      <c r="C844" s="12" t="s">
        <v>55</v>
      </c>
      <c r="D844" s="12" t="n">
        <v>76</v>
      </c>
      <c r="E844" s="12" t="s">
        <v>1664</v>
      </c>
      <c r="F844" s="12" t="s">
        <v>82</v>
      </c>
      <c r="G844" s="12" t="s">
        <v>1664</v>
      </c>
      <c r="H844" s="12" t="s">
        <v>259</v>
      </c>
      <c r="I844" s="12" t="s">
        <v>158</v>
      </c>
      <c r="J844" s="12" t="s">
        <v>159</v>
      </c>
      <c r="K844" s="12" t="s">
        <v>19</v>
      </c>
      <c r="L844" s="12" t="s">
        <v>87</v>
      </c>
      <c r="M844" s="11" t="s">
        <v>88</v>
      </c>
    </row>
    <row r="845" customFormat="false" ht="28.35" hidden="false" customHeight="false" outlineLevel="0" collapsed="false">
      <c r="A845" s="11" t="s">
        <v>1665</v>
      </c>
      <c r="B845" s="12" t="s">
        <v>56</v>
      </c>
      <c r="C845" s="12" t="s">
        <v>55</v>
      </c>
      <c r="D845" s="12" t="n">
        <v>77</v>
      </c>
      <c r="E845" s="12" t="s">
        <v>1664</v>
      </c>
      <c r="F845" s="12" t="s">
        <v>132</v>
      </c>
      <c r="G845" s="12" t="s">
        <v>1666</v>
      </c>
      <c r="H845" s="12" t="s">
        <v>259</v>
      </c>
      <c r="I845" s="12" t="s">
        <v>164</v>
      </c>
      <c r="J845" s="12" t="s">
        <v>165</v>
      </c>
      <c r="K845" s="12" t="s">
        <v>16</v>
      </c>
      <c r="L845" s="12" t="s">
        <v>87</v>
      </c>
      <c r="M845" s="11" t="s">
        <v>88</v>
      </c>
    </row>
    <row r="846" customFormat="false" ht="28.35" hidden="false" customHeight="false" outlineLevel="0" collapsed="false">
      <c r="A846" s="11" t="s">
        <v>1667</v>
      </c>
      <c r="B846" s="12" t="s">
        <v>56</v>
      </c>
      <c r="C846" s="12" t="s">
        <v>55</v>
      </c>
      <c r="D846" s="12" t="n">
        <v>78</v>
      </c>
      <c r="E846" s="12" t="s">
        <v>1664</v>
      </c>
      <c r="F846" s="12" t="s">
        <v>132</v>
      </c>
      <c r="G846" s="12" t="s">
        <v>1668</v>
      </c>
      <c r="H846" s="12" t="s">
        <v>259</v>
      </c>
      <c r="I846" s="12" t="s">
        <v>164</v>
      </c>
      <c r="J846" s="12" t="s">
        <v>165</v>
      </c>
      <c r="K846" s="12" t="s">
        <v>16</v>
      </c>
      <c r="L846" s="12" t="s">
        <v>87</v>
      </c>
      <c r="M846" s="11" t="s">
        <v>88</v>
      </c>
    </row>
    <row r="847" customFormat="false" ht="28.35" hidden="false" customHeight="false" outlineLevel="0" collapsed="false">
      <c r="A847" s="11" t="s">
        <v>1669</v>
      </c>
      <c r="B847" s="12" t="s">
        <v>56</v>
      </c>
      <c r="C847" s="12" t="s">
        <v>55</v>
      </c>
      <c r="D847" s="12" t="n">
        <v>79</v>
      </c>
      <c r="E847" s="12" t="s">
        <v>1664</v>
      </c>
      <c r="F847" s="12" t="s">
        <v>132</v>
      </c>
      <c r="G847" s="12" t="s">
        <v>1670</v>
      </c>
      <c r="H847" s="12" t="s">
        <v>259</v>
      </c>
      <c r="I847" s="12" t="s">
        <v>164</v>
      </c>
      <c r="J847" s="12" t="s">
        <v>165</v>
      </c>
      <c r="K847" s="12" t="s">
        <v>16</v>
      </c>
      <c r="L847" s="12" t="s">
        <v>87</v>
      </c>
      <c r="M847" s="11" t="s">
        <v>88</v>
      </c>
    </row>
    <row r="848" customFormat="false" ht="28.35" hidden="false" customHeight="false" outlineLevel="0" collapsed="false">
      <c r="A848" s="11" t="s">
        <v>1671</v>
      </c>
      <c r="B848" s="12" t="s">
        <v>56</v>
      </c>
      <c r="C848" s="12" t="s">
        <v>55</v>
      </c>
      <c r="D848" s="12" t="n">
        <v>80</v>
      </c>
      <c r="E848" s="12" t="s">
        <v>1664</v>
      </c>
      <c r="F848" s="12" t="s">
        <v>132</v>
      </c>
      <c r="G848" s="12" t="s">
        <v>1672</v>
      </c>
      <c r="H848" s="12" t="s">
        <v>259</v>
      </c>
      <c r="I848" s="12" t="s">
        <v>164</v>
      </c>
      <c r="J848" s="12" t="s">
        <v>165</v>
      </c>
      <c r="K848" s="12" t="s">
        <v>16</v>
      </c>
      <c r="L848" s="12" t="s">
        <v>87</v>
      </c>
      <c r="M848" s="11" t="s">
        <v>88</v>
      </c>
    </row>
    <row r="849" customFormat="false" ht="28.35" hidden="false" customHeight="false" outlineLevel="0" collapsed="false">
      <c r="A849" s="11" t="s">
        <v>1673</v>
      </c>
      <c r="B849" s="12" t="s">
        <v>56</v>
      </c>
      <c r="C849" s="12" t="s">
        <v>55</v>
      </c>
      <c r="D849" s="12" t="n">
        <v>81</v>
      </c>
      <c r="E849" s="12" t="s">
        <v>1664</v>
      </c>
      <c r="F849" s="12" t="s">
        <v>132</v>
      </c>
      <c r="G849" s="12" t="s">
        <v>1674</v>
      </c>
      <c r="H849" s="12" t="s">
        <v>259</v>
      </c>
      <c r="I849" s="12" t="s">
        <v>164</v>
      </c>
      <c r="J849" s="12" t="s">
        <v>165</v>
      </c>
      <c r="K849" s="12" t="s">
        <v>16</v>
      </c>
      <c r="L849" s="12" t="s">
        <v>87</v>
      </c>
      <c r="M849" s="11" t="s">
        <v>88</v>
      </c>
    </row>
    <row r="850" customFormat="false" ht="28.35" hidden="false" customHeight="false" outlineLevel="0" collapsed="false">
      <c r="A850" s="11" t="s">
        <v>1675</v>
      </c>
      <c r="B850" s="12" t="s">
        <v>56</v>
      </c>
      <c r="C850" s="12" t="s">
        <v>55</v>
      </c>
      <c r="D850" s="12" t="n">
        <v>82</v>
      </c>
      <c r="E850" s="12" t="s">
        <v>1664</v>
      </c>
      <c r="F850" s="12" t="s">
        <v>132</v>
      </c>
      <c r="G850" s="12" t="s">
        <v>1676</v>
      </c>
      <c r="H850" s="12" t="s">
        <v>259</v>
      </c>
      <c r="I850" s="12" t="s">
        <v>164</v>
      </c>
      <c r="J850" s="12" t="s">
        <v>165</v>
      </c>
      <c r="K850" s="12" t="s">
        <v>16</v>
      </c>
      <c r="L850" s="12" t="s">
        <v>87</v>
      </c>
      <c r="M850" s="11" t="s">
        <v>88</v>
      </c>
    </row>
    <row r="851" customFormat="false" ht="28.35" hidden="false" customHeight="false" outlineLevel="0" collapsed="false">
      <c r="A851" s="11" t="s">
        <v>1677</v>
      </c>
      <c r="B851" s="12" t="s">
        <v>56</v>
      </c>
      <c r="C851" s="12" t="s">
        <v>55</v>
      </c>
      <c r="D851" s="12" t="n">
        <v>83</v>
      </c>
      <c r="E851" s="12" t="s">
        <v>1664</v>
      </c>
      <c r="F851" s="12" t="s">
        <v>132</v>
      </c>
      <c r="G851" s="12" t="s">
        <v>1678</v>
      </c>
      <c r="H851" s="12" t="s">
        <v>259</v>
      </c>
      <c r="I851" s="12" t="s">
        <v>164</v>
      </c>
      <c r="J851" s="12" t="s">
        <v>165</v>
      </c>
      <c r="K851" s="12" t="s">
        <v>16</v>
      </c>
      <c r="L851" s="12" t="s">
        <v>87</v>
      </c>
      <c r="M851" s="11" t="s">
        <v>88</v>
      </c>
    </row>
    <row r="852" customFormat="false" ht="28.35" hidden="false" customHeight="false" outlineLevel="0" collapsed="false">
      <c r="A852" s="11" t="s">
        <v>1679</v>
      </c>
      <c r="B852" s="12" t="s">
        <v>56</v>
      </c>
      <c r="C852" s="12" t="s">
        <v>55</v>
      </c>
      <c r="D852" s="12" t="n">
        <v>84</v>
      </c>
      <c r="E852" s="12" t="s">
        <v>1664</v>
      </c>
      <c r="F852" s="12" t="s">
        <v>132</v>
      </c>
      <c r="G852" s="12" t="s">
        <v>1670</v>
      </c>
      <c r="H852" s="12" t="s">
        <v>259</v>
      </c>
      <c r="I852" s="12" t="s">
        <v>164</v>
      </c>
      <c r="J852" s="12" t="s">
        <v>165</v>
      </c>
      <c r="K852" s="12" t="s">
        <v>16</v>
      </c>
      <c r="L852" s="12" t="s">
        <v>87</v>
      </c>
      <c r="M852" s="11" t="s">
        <v>88</v>
      </c>
    </row>
    <row r="853" customFormat="false" ht="28.35" hidden="false" customHeight="false" outlineLevel="0" collapsed="false">
      <c r="A853" s="11" t="s">
        <v>1680</v>
      </c>
      <c r="B853" s="12" t="s">
        <v>56</v>
      </c>
      <c r="C853" s="12" t="s">
        <v>55</v>
      </c>
      <c r="D853" s="12" t="n">
        <v>85</v>
      </c>
      <c r="E853" s="12" t="s">
        <v>1664</v>
      </c>
      <c r="F853" s="12" t="s">
        <v>132</v>
      </c>
      <c r="G853" s="12" t="s">
        <v>1681</v>
      </c>
      <c r="H853" s="12" t="s">
        <v>259</v>
      </c>
      <c r="I853" s="12" t="s">
        <v>164</v>
      </c>
      <c r="J853" s="12" t="s">
        <v>165</v>
      </c>
      <c r="K853" s="12" t="s">
        <v>16</v>
      </c>
      <c r="L853" s="12" t="s">
        <v>87</v>
      </c>
      <c r="M853" s="11" t="s">
        <v>88</v>
      </c>
    </row>
    <row r="854" customFormat="false" ht="28.35" hidden="false" customHeight="false" outlineLevel="0" collapsed="false">
      <c r="A854" s="11" t="s">
        <v>1682</v>
      </c>
      <c r="B854" s="12" t="s">
        <v>56</v>
      </c>
      <c r="C854" s="12" t="s">
        <v>55</v>
      </c>
      <c r="D854" s="12" t="n">
        <v>86</v>
      </c>
      <c r="E854" s="12" t="s">
        <v>1664</v>
      </c>
      <c r="F854" s="12" t="s">
        <v>132</v>
      </c>
      <c r="G854" s="12" t="s">
        <v>1683</v>
      </c>
      <c r="H854" s="12" t="s">
        <v>259</v>
      </c>
      <c r="I854" s="12" t="s">
        <v>164</v>
      </c>
      <c r="J854" s="12" t="s">
        <v>165</v>
      </c>
      <c r="K854" s="12" t="s">
        <v>16</v>
      </c>
      <c r="L854" s="12" t="s">
        <v>87</v>
      </c>
      <c r="M854" s="11" t="s">
        <v>88</v>
      </c>
    </row>
    <row r="855" customFormat="false" ht="28.35" hidden="false" customHeight="false" outlineLevel="0" collapsed="false">
      <c r="A855" s="11" t="s">
        <v>1684</v>
      </c>
      <c r="B855" s="12" t="s">
        <v>56</v>
      </c>
      <c r="C855" s="12" t="s">
        <v>55</v>
      </c>
      <c r="D855" s="12" t="n">
        <v>87</v>
      </c>
      <c r="E855" s="12" t="s">
        <v>1664</v>
      </c>
      <c r="F855" s="12" t="s">
        <v>132</v>
      </c>
      <c r="G855" s="12" t="s">
        <v>1676</v>
      </c>
      <c r="H855" s="12" t="s">
        <v>259</v>
      </c>
      <c r="I855" s="12" t="s">
        <v>164</v>
      </c>
      <c r="J855" s="12" t="s">
        <v>165</v>
      </c>
      <c r="K855" s="12" t="s">
        <v>16</v>
      </c>
      <c r="L855" s="12" t="s">
        <v>87</v>
      </c>
      <c r="M855" s="11" t="s">
        <v>88</v>
      </c>
    </row>
    <row r="856" customFormat="false" ht="28.35" hidden="false" customHeight="false" outlineLevel="0" collapsed="false">
      <c r="A856" s="11" t="s">
        <v>1685</v>
      </c>
      <c r="B856" s="12" t="s">
        <v>56</v>
      </c>
      <c r="C856" s="12" t="s">
        <v>55</v>
      </c>
      <c r="D856" s="12" t="n">
        <v>88</v>
      </c>
      <c r="E856" s="12" t="s">
        <v>1664</v>
      </c>
      <c r="F856" s="12" t="s">
        <v>132</v>
      </c>
      <c r="G856" s="12" t="s">
        <v>1686</v>
      </c>
      <c r="H856" s="12" t="s">
        <v>259</v>
      </c>
      <c r="I856" s="12" t="s">
        <v>164</v>
      </c>
      <c r="J856" s="12" t="s">
        <v>165</v>
      </c>
      <c r="K856" s="12" t="s">
        <v>16</v>
      </c>
      <c r="L856" s="12" t="s">
        <v>87</v>
      </c>
      <c r="M856" s="11" t="s">
        <v>88</v>
      </c>
    </row>
    <row r="857" customFormat="false" ht="28.35" hidden="false" customHeight="false" outlineLevel="0" collapsed="false">
      <c r="A857" s="11" t="s">
        <v>1687</v>
      </c>
      <c r="B857" s="12" t="s">
        <v>56</v>
      </c>
      <c r="C857" s="12" t="s">
        <v>55</v>
      </c>
      <c r="D857" s="12" t="n">
        <v>89</v>
      </c>
      <c r="E857" s="12" t="s">
        <v>1664</v>
      </c>
      <c r="F857" s="12" t="s">
        <v>132</v>
      </c>
      <c r="G857" s="12" t="s">
        <v>1670</v>
      </c>
      <c r="H857" s="12" t="s">
        <v>259</v>
      </c>
      <c r="I857" s="12" t="s">
        <v>164</v>
      </c>
      <c r="J857" s="12" t="s">
        <v>165</v>
      </c>
      <c r="K857" s="12" t="s">
        <v>16</v>
      </c>
      <c r="L857" s="12" t="s">
        <v>87</v>
      </c>
      <c r="M857" s="11" t="s">
        <v>88</v>
      </c>
    </row>
    <row r="858" customFormat="false" ht="28.35" hidden="false" customHeight="false" outlineLevel="0" collapsed="false">
      <c r="A858" s="11" t="s">
        <v>1688</v>
      </c>
      <c r="B858" s="12" t="s">
        <v>56</v>
      </c>
      <c r="C858" s="12" t="s">
        <v>55</v>
      </c>
      <c r="D858" s="12" t="n">
        <v>90</v>
      </c>
      <c r="E858" s="12" t="s">
        <v>1664</v>
      </c>
      <c r="F858" s="12" t="s">
        <v>132</v>
      </c>
      <c r="G858" s="12" t="s">
        <v>1681</v>
      </c>
      <c r="H858" s="12" t="s">
        <v>259</v>
      </c>
      <c r="I858" s="12" t="s">
        <v>164</v>
      </c>
      <c r="J858" s="12" t="s">
        <v>165</v>
      </c>
      <c r="K858" s="12" t="s">
        <v>16</v>
      </c>
      <c r="L858" s="12" t="s">
        <v>87</v>
      </c>
      <c r="M858" s="11" t="s">
        <v>88</v>
      </c>
    </row>
    <row r="859" customFormat="false" ht="28.35" hidden="false" customHeight="false" outlineLevel="0" collapsed="false">
      <c r="A859" s="11" t="s">
        <v>1689</v>
      </c>
      <c r="B859" s="12" t="s">
        <v>56</v>
      </c>
      <c r="C859" s="12" t="s">
        <v>55</v>
      </c>
      <c r="D859" s="12" t="n">
        <v>91</v>
      </c>
      <c r="E859" s="12" t="s">
        <v>1664</v>
      </c>
      <c r="F859" s="12" t="s">
        <v>132</v>
      </c>
      <c r="G859" s="12" t="s">
        <v>1674</v>
      </c>
      <c r="H859" s="12" t="s">
        <v>259</v>
      </c>
      <c r="I859" s="12" t="s">
        <v>164</v>
      </c>
      <c r="J859" s="12" t="s">
        <v>165</v>
      </c>
      <c r="K859" s="12" t="s">
        <v>16</v>
      </c>
      <c r="L859" s="12" t="s">
        <v>87</v>
      </c>
      <c r="M859" s="11" t="s">
        <v>88</v>
      </c>
    </row>
    <row r="860" customFormat="false" ht="28.35" hidden="false" customHeight="false" outlineLevel="0" collapsed="false">
      <c r="A860" s="11" t="s">
        <v>1690</v>
      </c>
      <c r="B860" s="12" t="s">
        <v>56</v>
      </c>
      <c r="C860" s="12" t="s">
        <v>55</v>
      </c>
      <c r="D860" s="12" t="n">
        <v>92</v>
      </c>
      <c r="E860" s="12" t="s">
        <v>1664</v>
      </c>
      <c r="F860" s="12" t="s">
        <v>132</v>
      </c>
      <c r="G860" s="12" t="s">
        <v>1691</v>
      </c>
      <c r="H860" s="12" t="s">
        <v>259</v>
      </c>
      <c r="I860" s="12" t="s">
        <v>164</v>
      </c>
      <c r="J860" s="12" t="s">
        <v>165</v>
      </c>
      <c r="K860" s="12" t="s">
        <v>16</v>
      </c>
      <c r="L860" s="12" t="s">
        <v>87</v>
      </c>
      <c r="M860" s="11" t="s">
        <v>88</v>
      </c>
    </row>
    <row r="861" customFormat="false" ht="28.35" hidden="false" customHeight="false" outlineLevel="0" collapsed="false">
      <c r="A861" s="11" t="s">
        <v>1692</v>
      </c>
      <c r="B861" s="12" t="s">
        <v>56</v>
      </c>
      <c r="C861" s="12" t="s">
        <v>55</v>
      </c>
      <c r="D861" s="12" t="n">
        <v>93</v>
      </c>
      <c r="E861" s="12" t="s">
        <v>447</v>
      </c>
      <c r="F861" s="12" t="s">
        <v>82</v>
      </c>
      <c r="G861" s="12" t="s">
        <v>447</v>
      </c>
      <c r="H861" s="12" t="s">
        <v>259</v>
      </c>
      <c r="I861" s="12" t="s">
        <v>158</v>
      </c>
      <c r="J861" s="12" t="s">
        <v>159</v>
      </c>
      <c r="K861" s="12" t="s">
        <v>19</v>
      </c>
      <c r="L861" s="12" t="s">
        <v>87</v>
      </c>
      <c r="M861" s="11" t="s">
        <v>88</v>
      </c>
    </row>
    <row r="862" customFormat="false" ht="28.35" hidden="false" customHeight="false" outlineLevel="0" collapsed="false">
      <c r="A862" s="11" t="s">
        <v>1693</v>
      </c>
      <c r="B862" s="12" t="s">
        <v>56</v>
      </c>
      <c r="C862" s="12" t="s">
        <v>55</v>
      </c>
      <c r="D862" s="12" t="n">
        <v>94</v>
      </c>
      <c r="E862" s="12" t="s">
        <v>447</v>
      </c>
      <c r="F862" s="12" t="s">
        <v>132</v>
      </c>
      <c r="G862" s="12" t="s">
        <v>1694</v>
      </c>
      <c r="H862" s="12" t="s">
        <v>259</v>
      </c>
      <c r="I862" s="12" t="s">
        <v>164</v>
      </c>
      <c r="J862" s="12" t="s">
        <v>165</v>
      </c>
      <c r="K862" s="12" t="s">
        <v>16</v>
      </c>
      <c r="L862" s="12" t="s">
        <v>87</v>
      </c>
      <c r="M862" s="11" t="s">
        <v>88</v>
      </c>
    </row>
    <row r="863" customFormat="false" ht="28.35" hidden="false" customHeight="false" outlineLevel="0" collapsed="false">
      <c r="A863" s="11" t="s">
        <v>1695</v>
      </c>
      <c r="B863" s="12" t="s">
        <v>56</v>
      </c>
      <c r="C863" s="12" t="s">
        <v>55</v>
      </c>
      <c r="D863" s="12" t="n">
        <v>95</v>
      </c>
      <c r="E863" s="12" t="s">
        <v>447</v>
      </c>
      <c r="F863" s="12" t="s">
        <v>132</v>
      </c>
      <c r="G863" s="12" t="s">
        <v>1696</v>
      </c>
      <c r="H863" s="12" t="s">
        <v>259</v>
      </c>
      <c r="I863" s="12" t="s">
        <v>164</v>
      </c>
      <c r="J863" s="12" t="s">
        <v>165</v>
      </c>
      <c r="K863" s="12" t="s">
        <v>16</v>
      </c>
      <c r="L863" s="12" t="s">
        <v>87</v>
      </c>
      <c r="M863" s="11" t="s">
        <v>88</v>
      </c>
    </row>
    <row r="864" customFormat="false" ht="28.35" hidden="false" customHeight="false" outlineLevel="0" collapsed="false">
      <c r="A864" s="11" t="s">
        <v>1697</v>
      </c>
      <c r="B864" s="12" t="s">
        <v>56</v>
      </c>
      <c r="C864" s="12" t="s">
        <v>55</v>
      </c>
      <c r="D864" s="12" t="n">
        <v>96</v>
      </c>
      <c r="E864" s="12" t="s">
        <v>447</v>
      </c>
      <c r="F864" s="12" t="s">
        <v>132</v>
      </c>
      <c r="G864" s="12" t="s">
        <v>455</v>
      </c>
      <c r="H864" s="12" t="s">
        <v>259</v>
      </c>
      <c r="I864" s="12" t="s">
        <v>164</v>
      </c>
      <c r="J864" s="12" t="s">
        <v>165</v>
      </c>
      <c r="K864" s="12" t="s">
        <v>16</v>
      </c>
      <c r="L864" s="12" t="s">
        <v>87</v>
      </c>
      <c r="M864" s="11" t="s">
        <v>88</v>
      </c>
    </row>
    <row r="865" customFormat="false" ht="28.35" hidden="false" customHeight="false" outlineLevel="0" collapsed="false">
      <c r="A865" s="11" t="s">
        <v>1698</v>
      </c>
      <c r="B865" s="12" t="s">
        <v>56</v>
      </c>
      <c r="C865" s="12" t="s">
        <v>55</v>
      </c>
      <c r="D865" s="12" t="n">
        <v>97</v>
      </c>
      <c r="E865" s="12" t="s">
        <v>447</v>
      </c>
      <c r="F865" s="12" t="s">
        <v>132</v>
      </c>
      <c r="G865" s="12" t="s">
        <v>457</v>
      </c>
      <c r="H865" s="12" t="s">
        <v>259</v>
      </c>
      <c r="I865" s="12" t="s">
        <v>164</v>
      </c>
      <c r="J865" s="12" t="s">
        <v>165</v>
      </c>
      <c r="K865" s="12" t="s">
        <v>16</v>
      </c>
      <c r="L865" s="12" t="s">
        <v>87</v>
      </c>
      <c r="M865" s="11" t="s">
        <v>88</v>
      </c>
    </row>
    <row r="866" customFormat="false" ht="28.35" hidden="false" customHeight="false" outlineLevel="0" collapsed="false">
      <c r="A866" s="11" t="s">
        <v>1699</v>
      </c>
      <c r="B866" s="12" t="s">
        <v>56</v>
      </c>
      <c r="C866" s="12" t="s">
        <v>55</v>
      </c>
      <c r="D866" s="12" t="n">
        <v>98</v>
      </c>
      <c r="E866" s="12" t="s">
        <v>447</v>
      </c>
      <c r="F866" s="12" t="s">
        <v>98</v>
      </c>
      <c r="G866" s="12" t="s">
        <v>459</v>
      </c>
      <c r="H866" s="12" t="s">
        <v>259</v>
      </c>
      <c r="I866" s="12" t="s">
        <v>175</v>
      </c>
      <c r="J866" s="12" t="s">
        <v>176</v>
      </c>
      <c r="K866" s="12" t="s">
        <v>22</v>
      </c>
      <c r="L866" s="12" t="s">
        <v>96</v>
      </c>
      <c r="M866" s="11" t="s">
        <v>88</v>
      </c>
    </row>
    <row r="867" customFormat="false" ht="28.35" hidden="false" customHeight="false" outlineLevel="0" collapsed="false">
      <c r="A867" s="11" t="s">
        <v>1700</v>
      </c>
      <c r="B867" s="12" t="s">
        <v>56</v>
      </c>
      <c r="C867" s="12" t="s">
        <v>55</v>
      </c>
      <c r="D867" s="12" t="n">
        <v>99</v>
      </c>
      <c r="E867" s="12" t="s">
        <v>447</v>
      </c>
      <c r="F867" s="12" t="s">
        <v>98</v>
      </c>
      <c r="G867" s="12" t="s">
        <v>1701</v>
      </c>
      <c r="H867" s="12" t="s">
        <v>259</v>
      </c>
      <c r="I867" s="12" t="s">
        <v>175</v>
      </c>
      <c r="J867" s="12" t="s">
        <v>176</v>
      </c>
      <c r="K867" s="12" t="s">
        <v>22</v>
      </c>
      <c r="L867" s="12" t="s">
        <v>96</v>
      </c>
      <c r="M867" s="11" t="s">
        <v>88</v>
      </c>
    </row>
    <row r="868" customFormat="false" ht="28.35" hidden="false" customHeight="false" outlineLevel="0" collapsed="false">
      <c r="A868" s="11" t="s">
        <v>1702</v>
      </c>
      <c r="B868" s="12" t="s">
        <v>56</v>
      </c>
      <c r="C868" s="12" t="s">
        <v>55</v>
      </c>
      <c r="D868" s="12" t="n">
        <v>100</v>
      </c>
      <c r="E868" s="12" t="s">
        <v>447</v>
      </c>
      <c r="F868" s="12" t="s">
        <v>98</v>
      </c>
      <c r="G868" s="12" t="s">
        <v>1703</v>
      </c>
      <c r="H868" s="12" t="s">
        <v>259</v>
      </c>
      <c r="I868" s="12" t="s">
        <v>175</v>
      </c>
      <c r="J868" s="12" t="s">
        <v>176</v>
      </c>
      <c r="K868" s="12" t="s">
        <v>22</v>
      </c>
      <c r="L868" s="12" t="s">
        <v>96</v>
      </c>
      <c r="M868" s="11" t="s">
        <v>88</v>
      </c>
    </row>
    <row r="869" customFormat="false" ht="28.35" hidden="false" customHeight="false" outlineLevel="0" collapsed="false">
      <c r="A869" s="11" t="s">
        <v>1704</v>
      </c>
      <c r="B869" s="12" t="s">
        <v>56</v>
      </c>
      <c r="C869" s="12" t="s">
        <v>55</v>
      </c>
      <c r="D869" s="12" t="n">
        <v>101</v>
      </c>
      <c r="E869" s="12" t="s">
        <v>447</v>
      </c>
      <c r="F869" s="12" t="s">
        <v>98</v>
      </c>
      <c r="G869" s="12" t="s">
        <v>1705</v>
      </c>
      <c r="H869" s="12" t="s">
        <v>259</v>
      </c>
      <c r="I869" s="12" t="s">
        <v>175</v>
      </c>
      <c r="J869" s="12" t="s">
        <v>176</v>
      </c>
      <c r="K869" s="12" t="s">
        <v>22</v>
      </c>
      <c r="L869" s="12" t="s">
        <v>96</v>
      </c>
      <c r="M869" s="11" t="s">
        <v>88</v>
      </c>
    </row>
    <row r="870" customFormat="false" ht="28.35" hidden="false" customHeight="false" outlineLevel="0" collapsed="false">
      <c r="A870" s="11" t="s">
        <v>1706</v>
      </c>
      <c r="B870" s="12" t="s">
        <v>56</v>
      </c>
      <c r="C870" s="12" t="s">
        <v>55</v>
      </c>
      <c r="D870" s="12" t="n">
        <v>102</v>
      </c>
      <c r="E870" s="12" t="s">
        <v>1707</v>
      </c>
      <c r="F870" s="12" t="s">
        <v>82</v>
      </c>
      <c r="G870" s="12" t="s">
        <v>1707</v>
      </c>
      <c r="H870" s="12" t="s">
        <v>259</v>
      </c>
      <c r="I870" s="12" t="s">
        <v>158</v>
      </c>
      <c r="J870" s="12" t="s">
        <v>159</v>
      </c>
      <c r="K870" s="12" t="s">
        <v>19</v>
      </c>
      <c r="L870" s="12" t="s">
        <v>87</v>
      </c>
      <c r="M870" s="11" t="s">
        <v>88</v>
      </c>
    </row>
    <row r="871" customFormat="false" ht="28.35" hidden="false" customHeight="false" outlineLevel="0" collapsed="false">
      <c r="A871" s="11" t="s">
        <v>1708</v>
      </c>
      <c r="B871" s="12" t="s">
        <v>56</v>
      </c>
      <c r="C871" s="12" t="s">
        <v>55</v>
      </c>
      <c r="D871" s="12" t="n">
        <v>103</v>
      </c>
      <c r="E871" s="12" t="s">
        <v>1707</v>
      </c>
      <c r="F871" s="12" t="s">
        <v>132</v>
      </c>
      <c r="G871" s="12" t="s">
        <v>1709</v>
      </c>
      <c r="H871" s="12" t="s">
        <v>259</v>
      </c>
      <c r="I871" s="12" t="s">
        <v>164</v>
      </c>
      <c r="J871" s="12" t="s">
        <v>165</v>
      </c>
      <c r="K871" s="12" t="s">
        <v>16</v>
      </c>
      <c r="L871" s="12" t="s">
        <v>87</v>
      </c>
      <c r="M871" s="11" t="s">
        <v>88</v>
      </c>
    </row>
    <row r="872" customFormat="false" ht="28.35" hidden="false" customHeight="false" outlineLevel="0" collapsed="false">
      <c r="A872" s="11" t="s">
        <v>1710</v>
      </c>
      <c r="B872" s="12" t="s">
        <v>56</v>
      </c>
      <c r="C872" s="12" t="s">
        <v>55</v>
      </c>
      <c r="D872" s="12" t="n">
        <v>104</v>
      </c>
      <c r="E872" s="12" t="s">
        <v>1707</v>
      </c>
      <c r="F872" s="12" t="s">
        <v>132</v>
      </c>
      <c r="G872" s="12" t="s">
        <v>1711</v>
      </c>
      <c r="H872" s="12" t="s">
        <v>259</v>
      </c>
      <c r="I872" s="12" t="s">
        <v>164</v>
      </c>
      <c r="J872" s="12" t="s">
        <v>165</v>
      </c>
      <c r="K872" s="12" t="s">
        <v>16</v>
      </c>
      <c r="L872" s="12" t="s">
        <v>87</v>
      </c>
      <c r="M872" s="11" t="s">
        <v>88</v>
      </c>
    </row>
    <row r="873" customFormat="false" ht="41.75" hidden="false" customHeight="false" outlineLevel="0" collapsed="false">
      <c r="A873" s="11" t="s">
        <v>1712</v>
      </c>
      <c r="B873" s="12" t="s">
        <v>56</v>
      </c>
      <c r="C873" s="12" t="s">
        <v>55</v>
      </c>
      <c r="D873" s="12" t="n">
        <v>105</v>
      </c>
      <c r="E873" s="12" t="s">
        <v>1707</v>
      </c>
      <c r="F873" s="12" t="s">
        <v>132</v>
      </c>
      <c r="G873" s="12" t="s">
        <v>1713</v>
      </c>
      <c r="H873" s="12" t="s">
        <v>259</v>
      </c>
      <c r="I873" s="12" t="s">
        <v>164</v>
      </c>
      <c r="J873" s="12" t="s">
        <v>165</v>
      </c>
      <c r="K873" s="12" t="s">
        <v>16</v>
      </c>
      <c r="L873" s="12" t="s">
        <v>87</v>
      </c>
      <c r="M873" s="11" t="s">
        <v>88</v>
      </c>
    </row>
    <row r="874" customFormat="false" ht="41.75" hidden="false" customHeight="false" outlineLevel="0" collapsed="false">
      <c r="A874" s="11" t="s">
        <v>1714</v>
      </c>
      <c r="B874" s="12" t="s">
        <v>56</v>
      </c>
      <c r="C874" s="12" t="s">
        <v>55</v>
      </c>
      <c r="D874" s="12" t="n">
        <v>106</v>
      </c>
      <c r="E874" s="12" t="s">
        <v>1707</v>
      </c>
      <c r="F874" s="12" t="s">
        <v>132</v>
      </c>
      <c r="G874" s="12" t="s">
        <v>1715</v>
      </c>
      <c r="H874" s="12" t="s">
        <v>259</v>
      </c>
      <c r="I874" s="12" t="s">
        <v>164</v>
      </c>
      <c r="J874" s="12" t="s">
        <v>165</v>
      </c>
      <c r="K874" s="12" t="s">
        <v>16</v>
      </c>
      <c r="L874" s="12" t="s">
        <v>87</v>
      </c>
      <c r="M874" s="11" t="s">
        <v>88</v>
      </c>
    </row>
    <row r="875" customFormat="false" ht="28.35" hidden="false" customHeight="false" outlineLevel="0" collapsed="false">
      <c r="A875" s="11" t="s">
        <v>1716</v>
      </c>
      <c r="B875" s="12" t="s">
        <v>56</v>
      </c>
      <c r="C875" s="12" t="s">
        <v>55</v>
      </c>
      <c r="D875" s="12" t="n">
        <v>107</v>
      </c>
      <c r="E875" s="12" t="s">
        <v>1707</v>
      </c>
      <c r="F875" s="12" t="s">
        <v>132</v>
      </c>
      <c r="G875" s="12" t="s">
        <v>1717</v>
      </c>
      <c r="H875" s="12" t="s">
        <v>259</v>
      </c>
      <c r="I875" s="12" t="s">
        <v>164</v>
      </c>
      <c r="J875" s="12" t="s">
        <v>165</v>
      </c>
      <c r="K875" s="12" t="s">
        <v>16</v>
      </c>
      <c r="L875" s="12" t="s">
        <v>87</v>
      </c>
      <c r="M875" s="11" t="s">
        <v>88</v>
      </c>
    </row>
    <row r="876" customFormat="false" ht="28.35" hidden="false" customHeight="false" outlineLevel="0" collapsed="false">
      <c r="A876" s="11" t="s">
        <v>1718</v>
      </c>
      <c r="B876" s="12" t="s">
        <v>56</v>
      </c>
      <c r="C876" s="12" t="s">
        <v>55</v>
      </c>
      <c r="D876" s="12" t="n">
        <v>108</v>
      </c>
      <c r="E876" s="12" t="s">
        <v>1707</v>
      </c>
      <c r="F876" s="12" t="s">
        <v>132</v>
      </c>
      <c r="G876" s="12" t="s">
        <v>1719</v>
      </c>
      <c r="H876" s="12" t="s">
        <v>259</v>
      </c>
      <c r="I876" s="12" t="s">
        <v>164</v>
      </c>
      <c r="J876" s="12" t="s">
        <v>165</v>
      </c>
      <c r="K876" s="12" t="s">
        <v>16</v>
      </c>
      <c r="L876" s="12" t="s">
        <v>87</v>
      </c>
      <c r="M876" s="11" t="s">
        <v>88</v>
      </c>
    </row>
    <row r="877" customFormat="false" ht="28.35" hidden="false" customHeight="false" outlineLevel="0" collapsed="false">
      <c r="A877" s="11" t="s">
        <v>1720</v>
      </c>
      <c r="B877" s="12" t="s">
        <v>56</v>
      </c>
      <c r="C877" s="12" t="s">
        <v>55</v>
      </c>
      <c r="D877" s="12" t="n">
        <v>109</v>
      </c>
      <c r="E877" s="12" t="s">
        <v>1707</v>
      </c>
      <c r="F877" s="12" t="s">
        <v>132</v>
      </c>
      <c r="G877" s="12" t="s">
        <v>914</v>
      </c>
      <c r="H877" s="12" t="s">
        <v>259</v>
      </c>
      <c r="I877" s="12" t="s">
        <v>164</v>
      </c>
      <c r="J877" s="12" t="s">
        <v>165</v>
      </c>
      <c r="K877" s="12" t="s">
        <v>16</v>
      </c>
      <c r="L877" s="12" t="s">
        <v>87</v>
      </c>
      <c r="M877" s="11" t="s">
        <v>88</v>
      </c>
    </row>
    <row r="878" customFormat="false" ht="28.35" hidden="false" customHeight="false" outlineLevel="0" collapsed="false">
      <c r="A878" s="11" t="s">
        <v>1721</v>
      </c>
      <c r="B878" s="12" t="s">
        <v>56</v>
      </c>
      <c r="C878" s="12" t="s">
        <v>55</v>
      </c>
      <c r="D878" s="12" t="n">
        <v>110</v>
      </c>
      <c r="E878" s="12" t="s">
        <v>1707</v>
      </c>
      <c r="F878" s="12" t="s">
        <v>132</v>
      </c>
      <c r="G878" s="12" t="s">
        <v>703</v>
      </c>
      <c r="H878" s="12" t="s">
        <v>259</v>
      </c>
      <c r="I878" s="12" t="s">
        <v>164</v>
      </c>
      <c r="J878" s="12" t="s">
        <v>165</v>
      </c>
      <c r="K878" s="12" t="s">
        <v>16</v>
      </c>
      <c r="L878" s="12" t="s">
        <v>87</v>
      </c>
      <c r="M878" s="11" t="s">
        <v>88</v>
      </c>
    </row>
    <row r="879" customFormat="false" ht="28.35" hidden="false" customHeight="false" outlineLevel="0" collapsed="false">
      <c r="A879" s="11" t="s">
        <v>1722</v>
      </c>
      <c r="B879" s="12" t="s">
        <v>56</v>
      </c>
      <c r="C879" s="12" t="s">
        <v>55</v>
      </c>
      <c r="D879" s="12" t="n">
        <v>111</v>
      </c>
      <c r="E879" s="12" t="s">
        <v>1723</v>
      </c>
      <c r="F879" s="12" t="s">
        <v>82</v>
      </c>
      <c r="G879" s="12" t="s">
        <v>1723</v>
      </c>
      <c r="H879" s="12" t="s">
        <v>259</v>
      </c>
      <c r="I879" s="12" t="s">
        <v>478</v>
      </c>
      <c r="J879" s="12" t="s">
        <v>479</v>
      </c>
      <c r="K879" s="12" t="s">
        <v>28</v>
      </c>
      <c r="L879" s="12" t="s">
        <v>96</v>
      </c>
      <c r="M879" s="11" t="s">
        <v>88</v>
      </c>
    </row>
    <row r="880" customFormat="false" ht="28.35" hidden="false" customHeight="false" outlineLevel="0" collapsed="false">
      <c r="A880" s="11" t="s">
        <v>1724</v>
      </c>
      <c r="B880" s="12" t="s">
        <v>56</v>
      </c>
      <c r="C880" s="12" t="s">
        <v>55</v>
      </c>
      <c r="D880" s="12" t="n">
        <v>112</v>
      </c>
      <c r="E880" s="12" t="s">
        <v>1723</v>
      </c>
      <c r="F880" s="12" t="s">
        <v>132</v>
      </c>
      <c r="G880" s="12" t="s">
        <v>1725</v>
      </c>
      <c r="H880" s="12" t="s">
        <v>259</v>
      </c>
      <c r="I880" s="12" t="s">
        <v>478</v>
      </c>
      <c r="J880" s="12" t="s">
        <v>479</v>
      </c>
      <c r="K880" s="12" t="s">
        <v>28</v>
      </c>
      <c r="L880" s="12" t="s">
        <v>96</v>
      </c>
      <c r="M880" s="11" t="s">
        <v>88</v>
      </c>
    </row>
    <row r="881" customFormat="false" ht="28.35" hidden="false" customHeight="false" outlineLevel="0" collapsed="false">
      <c r="A881" s="11" t="s">
        <v>1726</v>
      </c>
      <c r="B881" s="12" t="s">
        <v>56</v>
      </c>
      <c r="C881" s="12" t="s">
        <v>55</v>
      </c>
      <c r="D881" s="12" t="n">
        <v>113</v>
      </c>
      <c r="E881" s="12" t="s">
        <v>1723</v>
      </c>
      <c r="F881" s="12" t="s">
        <v>132</v>
      </c>
      <c r="G881" s="12" t="s">
        <v>1727</v>
      </c>
      <c r="H881" s="12" t="s">
        <v>259</v>
      </c>
      <c r="I881" s="12" t="s">
        <v>478</v>
      </c>
      <c r="J881" s="12" t="s">
        <v>479</v>
      </c>
      <c r="K881" s="12" t="s">
        <v>28</v>
      </c>
      <c r="L881" s="12" t="s">
        <v>96</v>
      </c>
      <c r="M881" s="11" t="s">
        <v>88</v>
      </c>
    </row>
    <row r="882" customFormat="false" ht="28.35" hidden="false" customHeight="false" outlineLevel="0" collapsed="false">
      <c r="A882" s="11" t="s">
        <v>1728</v>
      </c>
      <c r="B882" s="12" t="s">
        <v>56</v>
      </c>
      <c r="C882" s="12" t="s">
        <v>55</v>
      </c>
      <c r="D882" s="12" t="n">
        <v>114</v>
      </c>
      <c r="E882" s="12" t="s">
        <v>1723</v>
      </c>
      <c r="F882" s="12" t="s">
        <v>132</v>
      </c>
      <c r="G882" s="12" t="s">
        <v>1729</v>
      </c>
      <c r="H882" s="12" t="s">
        <v>259</v>
      </c>
      <c r="I882" s="12" t="s">
        <v>478</v>
      </c>
      <c r="J882" s="12" t="s">
        <v>479</v>
      </c>
      <c r="K882" s="12" t="s">
        <v>28</v>
      </c>
      <c r="L882" s="12" t="s">
        <v>96</v>
      </c>
      <c r="M882" s="11" t="s">
        <v>88</v>
      </c>
    </row>
    <row r="883" customFormat="false" ht="28.35" hidden="false" customHeight="false" outlineLevel="0" collapsed="false">
      <c r="A883" s="11" t="s">
        <v>1730</v>
      </c>
      <c r="B883" s="12" t="s">
        <v>56</v>
      </c>
      <c r="C883" s="12" t="s">
        <v>55</v>
      </c>
      <c r="D883" s="12" t="n">
        <v>115</v>
      </c>
      <c r="E883" s="12" t="s">
        <v>1723</v>
      </c>
      <c r="F883" s="12" t="s">
        <v>132</v>
      </c>
      <c r="G883" s="12" t="s">
        <v>1731</v>
      </c>
      <c r="H883" s="12" t="s">
        <v>259</v>
      </c>
      <c r="I883" s="12" t="s">
        <v>478</v>
      </c>
      <c r="J883" s="12" t="s">
        <v>479</v>
      </c>
      <c r="K883" s="12" t="s">
        <v>28</v>
      </c>
      <c r="L883" s="12" t="s">
        <v>96</v>
      </c>
      <c r="M883" s="11" t="s">
        <v>88</v>
      </c>
    </row>
    <row r="884" customFormat="false" ht="28.35" hidden="false" customHeight="false" outlineLevel="0" collapsed="false">
      <c r="A884" s="11" t="s">
        <v>1732</v>
      </c>
      <c r="B884" s="12" t="s">
        <v>56</v>
      </c>
      <c r="C884" s="12" t="s">
        <v>55</v>
      </c>
      <c r="D884" s="12" t="n">
        <v>116</v>
      </c>
      <c r="E884" s="12" t="s">
        <v>1723</v>
      </c>
      <c r="F884" s="12" t="s">
        <v>132</v>
      </c>
      <c r="G884" s="12" t="s">
        <v>1733</v>
      </c>
      <c r="H884" s="12" t="s">
        <v>259</v>
      </c>
      <c r="I884" s="12" t="s">
        <v>478</v>
      </c>
      <c r="J884" s="12" t="s">
        <v>479</v>
      </c>
      <c r="K884" s="12" t="s">
        <v>28</v>
      </c>
      <c r="L884" s="12" t="s">
        <v>96</v>
      </c>
      <c r="M884" s="11" t="s">
        <v>88</v>
      </c>
    </row>
    <row r="885" customFormat="false" ht="28.35" hidden="false" customHeight="false" outlineLevel="0" collapsed="false">
      <c r="A885" s="11" t="s">
        <v>1734</v>
      </c>
      <c r="B885" s="12" t="s">
        <v>56</v>
      </c>
      <c r="C885" s="12" t="s">
        <v>55</v>
      </c>
      <c r="D885" s="12" t="n">
        <v>117</v>
      </c>
      <c r="E885" s="12" t="s">
        <v>1723</v>
      </c>
      <c r="F885" s="12" t="s">
        <v>132</v>
      </c>
      <c r="G885" s="12" t="s">
        <v>1735</v>
      </c>
      <c r="H885" s="12" t="s">
        <v>259</v>
      </c>
      <c r="I885" s="12" t="s">
        <v>478</v>
      </c>
      <c r="J885" s="12" t="s">
        <v>479</v>
      </c>
      <c r="K885" s="12" t="s">
        <v>28</v>
      </c>
      <c r="L885" s="12" t="s">
        <v>96</v>
      </c>
      <c r="M885" s="11" t="s">
        <v>88</v>
      </c>
    </row>
    <row r="886" customFormat="false" ht="28.35" hidden="false" customHeight="false" outlineLevel="0" collapsed="false">
      <c r="A886" s="11" t="s">
        <v>1736</v>
      </c>
      <c r="B886" s="12" t="s">
        <v>56</v>
      </c>
      <c r="C886" s="12" t="s">
        <v>55</v>
      </c>
      <c r="D886" s="12" t="n">
        <v>118</v>
      </c>
      <c r="E886" s="12" t="s">
        <v>1723</v>
      </c>
      <c r="F886" s="12" t="s">
        <v>132</v>
      </c>
      <c r="G886" s="12" t="s">
        <v>1737</v>
      </c>
      <c r="H886" s="12" t="s">
        <v>259</v>
      </c>
      <c r="I886" s="12" t="s">
        <v>478</v>
      </c>
      <c r="J886" s="12" t="s">
        <v>479</v>
      </c>
      <c r="K886" s="12" t="s">
        <v>28</v>
      </c>
      <c r="L886" s="12" t="s">
        <v>96</v>
      </c>
      <c r="M886" s="11" t="s">
        <v>88</v>
      </c>
    </row>
    <row r="887" customFormat="false" ht="28.35" hidden="false" customHeight="false" outlineLevel="0" collapsed="false">
      <c r="A887" s="11" t="s">
        <v>1738</v>
      </c>
      <c r="B887" s="12" t="s">
        <v>56</v>
      </c>
      <c r="C887" s="12" t="s">
        <v>55</v>
      </c>
      <c r="D887" s="12" t="n">
        <v>119</v>
      </c>
      <c r="E887" s="12" t="s">
        <v>1723</v>
      </c>
      <c r="F887" s="12" t="s">
        <v>132</v>
      </c>
      <c r="G887" s="12" t="s">
        <v>1739</v>
      </c>
      <c r="H887" s="12" t="s">
        <v>259</v>
      </c>
      <c r="I887" s="12" t="s">
        <v>478</v>
      </c>
      <c r="J887" s="12" t="s">
        <v>479</v>
      </c>
      <c r="K887" s="12" t="s">
        <v>28</v>
      </c>
      <c r="L887" s="12" t="s">
        <v>96</v>
      </c>
      <c r="M887" s="11" t="s">
        <v>88</v>
      </c>
    </row>
    <row r="888" customFormat="false" ht="28.35" hidden="false" customHeight="false" outlineLevel="0" collapsed="false">
      <c r="A888" s="11" t="s">
        <v>1740</v>
      </c>
      <c r="B888" s="12" t="s">
        <v>56</v>
      </c>
      <c r="C888" s="12" t="s">
        <v>55</v>
      </c>
      <c r="D888" s="12" t="n">
        <v>120</v>
      </c>
      <c r="E888" s="12" t="s">
        <v>1723</v>
      </c>
      <c r="F888" s="12" t="s">
        <v>132</v>
      </c>
      <c r="G888" s="12" t="s">
        <v>1741</v>
      </c>
      <c r="H888" s="12" t="s">
        <v>259</v>
      </c>
      <c r="I888" s="12" t="s">
        <v>478</v>
      </c>
      <c r="J888" s="12" t="s">
        <v>479</v>
      </c>
      <c r="K888" s="12" t="s">
        <v>28</v>
      </c>
      <c r="L888" s="12" t="s">
        <v>96</v>
      </c>
      <c r="M888" s="11" t="s">
        <v>88</v>
      </c>
    </row>
    <row r="889" customFormat="false" ht="28.35" hidden="false" customHeight="false" outlineLevel="0" collapsed="false">
      <c r="A889" s="11" t="s">
        <v>1742</v>
      </c>
      <c r="B889" s="12" t="s">
        <v>56</v>
      </c>
      <c r="C889" s="12" t="s">
        <v>55</v>
      </c>
      <c r="D889" s="12" t="n">
        <v>121</v>
      </c>
      <c r="E889" s="12" t="s">
        <v>1723</v>
      </c>
      <c r="F889" s="12" t="s">
        <v>132</v>
      </c>
      <c r="G889" s="12" t="s">
        <v>1743</v>
      </c>
      <c r="H889" s="12" t="s">
        <v>259</v>
      </c>
      <c r="I889" s="12" t="s">
        <v>478</v>
      </c>
      <c r="J889" s="12" t="s">
        <v>479</v>
      </c>
      <c r="K889" s="12" t="s">
        <v>28</v>
      </c>
      <c r="L889" s="12" t="s">
        <v>96</v>
      </c>
      <c r="M889" s="11" t="s">
        <v>88</v>
      </c>
    </row>
    <row r="890" customFormat="false" ht="28.35" hidden="false" customHeight="false" outlineLevel="0" collapsed="false">
      <c r="A890" s="11" t="s">
        <v>1744</v>
      </c>
      <c r="B890" s="12" t="s">
        <v>56</v>
      </c>
      <c r="C890" s="12" t="s">
        <v>55</v>
      </c>
      <c r="D890" s="12" t="n">
        <v>122</v>
      </c>
      <c r="E890" s="12" t="s">
        <v>1723</v>
      </c>
      <c r="F890" s="12" t="s">
        <v>132</v>
      </c>
      <c r="G890" s="12" t="s">
        <v>1745</v>
      </c>
      <c r="H890" s="12" t="s">
        <v>259</v>
      </c>
      <c r="I890" s="12" t="s">
        <v>478</v>
      </c>
      <c r="J890" s="12" t="s">
        <v>479</v>
      </c>
      <c r="K890" s="12" t="s">
        <v>28</v>
      </c>
      <c r="L890" s="12" t="s">
        <v>96</v>
      </c>
      <c r="M890" s="11" t="s">
        <v>88</v>
      </c>
    </row>
    <row r="891" customFormat="false" ht="28.35" hidden="false" customHeight="false" outlineLevel="0" collapsed="false">
      <c r="A891" s="11" t="s">
        <v>1746</v>
      </c>
      <c r="B891" s="12" t="s">
        <v>56</v>
      </c>
      <c r="C891" s="12" t="s">
        <v>55</v>
      </c>
      <c r="D891" s="12" t="n">
        <v>123</v>
      </c>
      <c r="E891" s="12" t="s">
        <v>1723</v>
      </c>
      <c r="F891" s="12" t="s">
        <v>132</v>
      </c>
      <c r="G891" s="12" t="s">
        <v>1747</v>
      </c>
      <c r="H891" s="12" t="s">
        <v>259</v>
      </c>
      <c r="I891" s="12" t="s">
        <v>478</v>
      </c>
      <c r="J891" s="12" t="s">
        <v>479</v>
      </c>
      <c r="K891" s="12" t="s">
        <v>28</v>
      </c>
      <c r="L891" s="12" t="s">
        <v>96</v>
      </c>
      <c r="M891" s="11" t="s">
        <v>88</v>
      </c>
    </row>
    <row r="892" customFormat="false" ht="28.35" hidden="false" customHeight="false" outlineLevel="0" collapsed="false">
      <c r="A892" s="11" t="s">
        <v>1748</v>
      </c>
      <c r="B892" s="12" t="s">
        <v>56</v>
      </c>
      <c r="C892" s="12" t="s">
        <v>55</v>
      </c>
      <c r="D892" s="12" t="n">
        <v>124</v>
      </c>
      <c r="E892" s="12" t="s">
        <v>1723</v>
      </c>
      <c r="F892" s="12" t="s">
        <v>132</v>
      </c>
      <c r="G892" s="12" t="s">
        <v>1749</v>
      </c>
      <c r="H892" s="12" t="s">
        <v>259</v>
      </c>
      <c r="I892" s="12" t="s">
        <v>478</v>
      </c>
      <c r="J892" s="12" t="s">
        <v>479</v>
      </c>
      <c r="K892" s="12" t="s">
        <v>28</v>
      </c>
      <c r="L892" s="12" t="s">
        <v>96</v>
      </c>
      <c r="M892" s="11" t="s">
        <v>88</v>
      </c>
    </row>
    <row r="893" customFormat="false" ht="28.35" hidden="false" customHeight="false" outlineLevel="0" collapsed="false">
      <c r="A893" s="11" t="s">
        <v>1750</v>
      </c>
      <c r="B893" s="12" t="s">
        <v>56</v>
      </c>
      <c r="C893" s="12" t="s">
        <v>55</v>
      </c>
      <c r="D893" s="12" t="n">
        <v>125</v>
      </c>
      <c r="E893" s="12" t="s">
        <v>1723</v>
      </c>
      <c r="F893" s="12" t="s">
        <v>132</v>
      </c>
      <c r="G893" s="12" t="s">
        <v>1751</v>
      </c>
      <c r="H893" s="12" t="s">
        <v>259</v>
      </c>
      <c r="I893" s="12" t="s">
        <v>478</v>
      </c>
      <c r="J893" s="12" t="s">
        <v>479</v>
      </c>
      <c r="K893" s="12" t="s">
        <v>28</v>
      </c>
      <c r="L893" s="12" t="s">
        <v>96</v>
      </c>
      <c r="M893" s="11" t="s">
        <v>88</v>
      </c>
    </row>
    <row r="894" customFormat="false" ht="28.35" hidden="false" customHeight="false" outlineLevel="0" collapsed="false">
      <c r="A894" s="11" t="s">
        <v>1752</v>
      </c>
      <c r="B894" s="12" t="s">
        <v>56</v>
      </c>
      <c r="C894" s="12" t="s">
        <v>55</v>
      </c>
      <c r="D894" s="12" t="n">
        <v>126</v>
      </c>
      <c r="E894" s="12" t="s">
        <v>1723</v>
      </c>
      <c r="F894" s="12" t="s">
        <v>132</v>
      </c>
      <c r="G894" s="12" t="s">
        <v>1753</v>
      </c>
      <c r="H894" s="12" t="s">
        <v>259</v>
      </c>
      <c r="I894" s="12" t="s">
        <v>478</v>
      </c>
      <c r="J894" s="12" t="s">
        <v>479</v>
      </c>
      <c r="K894" s="12" t="s">
        <v>28</v>
      </c>
      <c r="L894" s="12" t="s">
        <v>96</v>
      </c>
      <c r="M894" s="11" t="s">
        <v>88</v>
      </c>
    </row>
    <row r="895" customFormat="false" ht="28.35" hidden="false" customHeight="false" outlineLevel="0" collapsed="false">
      <c r="A895" s="11" t="s">
        <v>1754</v>
      </c>
      <c r="B895" s="12" t="s">
        <v>56</v>
      </c>
      <c r="C895" s="12" t="s">
        <v>55</v>
      </c>
      <c r="D895" s="12" t="n">
        <v>127</v>
      </c>
      <c r="E895" s="12" t="s">
        <v>1723</v>
      </c>
      <c r="F895" s="12" t="s">
        <v>132</v>
      </c>
      <c r="G895" s="12" t="s">
        <v>1755</v>
      </c>
      <c r="H895" s="12" t="s">
        <v>259</v>
      </c>
      <c r="I895" s="12" t="s">
        <v>478</v>
      </c>
      <c r="J895" s="12" t="s">
        <v>479</v>
      </c>
      <c r="K895" s="12" t="s">
        <v>28</v>
      </c>
      <c r="L895" s="12" t="s">
        <v>96</v>
      </c>
      <c r="M895" s="11" t="s">
        <v>88</v>
      </c>
    </row>
    <row r="896" customFormat="false" ht="28.35" hidden="false" customHeight="false" outlineLevel="0" collapsed="false">
      <c r="A896" s="11" t="s">
        <v>1756</v>
      </c>
      <c r="B896" s="12" t="s">
        <v>56</v>
      </c>
      <c r="C896" s="12" t="s">
        <v>55</v>
      </c>
      <c r="D896" s="12" t="n">
        <v>128</v>
      </c>
      <c r="E896" s="12" t="s">
        <v>1723</v>
      </c>
      <c r="F896" s="12" t="s">
        <v>132</v>
      </c>
      <c r="G896" s="12" t="s">
        <v>1757</v>
      </c>
      <c r="H896" s="12" t="s">
        <v>259</v>
      </c>
      <c r="I896" s="12" t="s">
        <v>478</v>
      </c>
      <c r="J896" s="12" t="s">
        <v>479</v>
      </c>
      <c r="K896" s="12" t="s">
        <v>28</v>
      </c>
      <c r="L896" s="12" t="s">
        <v>96</v>
      </c>
      <c r="M896" s="11" t="s">
        <v>88</v>
      </c>
    </row>
    <row r="897" customFormat="false" ht="28.35" hidden="false" customHeight="false" outlineLevel="0" collapsed="false">
      <c r="A897" s="11" t="s">
        <v>1758</v>
      </c>
      <c r="B897" s="12" t="s">
        <v>56</v>
      </c>
      <c r="C897" s="12" t="s">
        <v>55</v>
      </c>
      <c r="D897" s="12" t="n">
        <v>129</v>
      </c>
      <c r="E897" s="12" t="s">
        <v>1723</v>
      </c>
      <c r="F897" s="12" t="s">
        <v>132</v>
      </c>
      <c r="G897" s="12" t="s">
        <v>1759</v>
      </c>
      <c r="H897" s="12" t="s">
        <v>259</v>
      </c>
      <c r="I897" s="12" t="s">
        <v>478</v>
      </c>
      <c r="J897" s="12" t="s">
        <v>479</v>
      </c>
      <c r="K897" s="12" t="s">
        <v>28</v>
      </c>
      <c r="L897" s="12" t="s">
        <v>96</v>
      </c>
      <c r="M897" s="11" t="s">
        <v>88</v>
      </c>
    </row>
    <row r="898" customFormat="false" ht="28.35" hidden="false" customHeight="false" outlineLevel="0" collapsed="false">
      <c r="A898" s="11" t="s">
        <v>1760</v>
      </c>
      <c r="B898" s="12" t="s">
        <v>56</v>
      </c>
      <c r="C898" s="12" t="s">
        <v>55</v>
      </c>
      <c r="D898" s="12" t="n">
        <v>130</v>
      </c>
      <c r="E898" s="12" t="s">
        <v>1723</v>
      </c>
      <c r="F898" s="12" t="s">
        <v>132</v>
      </c>
      <c r="G898" s="12" t="s">
        <v>1761</v>
      </c>
      <c r="H898" s="12" t="s">
        <v>259</v>
      </c>
      <c r="I898" s="12" t="s">
        <v>478</v>
      </c>
      <c r="J898" s="12" t="s">
        <v>479</v>
      </c>
      <c r="K898" s="12" t="s">
        <v>28</v>
      </c>
      <c r="L898" s="12" t="s">
        <v>96</v>
      </c>
      <c r="M898" s="11" t="s">
        <v>88</v>
      </c>
    </row>
    <row r="899" customFormat="false" ht="28.35" hidden="false" customHeight="false" outlineLevel="0" collapsed="false">
      <c r="A899" s="11" t="s">
        <v>1762</v>
      </c>
      <c r="B899" s="12" t="s">
        <v>56</v>
      </c>
      <c r="C899" s="12" t="s">
        <v>55</v>
      </c>
      <c r="D899" s="12" t="n">
        <v>131</v>
      </c>
      <c r="E899" s="12" t="s">
        <v>1723</v>
      </c>
      <c r="F899" s="12" t="s">
        <v>132</v>
      </c>
      <c r="G899" s="12" t="s">
        <v>1763</v>
      </c>
      <c r="H899" s="12" t="s">
        <v>259</v>
      </c>
      <c r="I899" s="12" t="s">
        <v>478</v>
      </c>
      <c r="J899" s="12" t="s">
        <v>479</v>
      </c>
      <c r="K899" s="12" t="s">
        <v>28</v>
      </c>
      <c r="L899" s="12" t="s">
        <v>96</v>
      </c>
      <c r="M899" s="11" t="s">
        <v>88</v>
      </c>
    </row>
    <row r="900" customFormat="false" ht="28.35" hidden="false" customHeight="false" outlineLevel="0" collapsed="false">
      <c r="A900" s="11" t="s">
        <v>1764</v>
      </c>
      <c r="B900" s="12" t="s">
        <v>56</v>
      </c>
      <c r="C900" s="12" t="s">
        <v>55</v>
      </c>
      <c r="D900" s="12" t="n">
        <v>132</v>
      </c>
      <c r="E900" s="12" t="s">
        <v>1723</v>
      </c>
      <c r="F900" s="12" t="s">
        <v>98</v>
      </c>
      <c r="G900" s="12" t="s">
        <v>491</v>
      </c>
      <c r="H900" s="12" t="s">
        <v>259</v>
      </c>
      <c r="I900" s="12" t="s">
        <v>478</v>
      </c>
      <c r="J900" s="12" t="s">
        <v>479</v>
      </c>
      <c r="K900" s="12" t="s">
        <v>28</v>
      </c>
      <c r="L900" s="12" t="s">
        <v>96</v>
      </c>
      <c r="M900" s="11" t="s">
        <v>88</v>
      </c>
    </row>
    <row r="901" customFormat="false" ht="28.35" hidden="false" customHeight="false" outlineLevel="0" collapsed="false">
      <c r="A901" s="11" t="s">
        <v>1765</v>
      </c>
      <c r="B901" s="12" t="s">
        <v>56</v>
      </c>
      <c r="C901" s="12" t="s">
        <v>55</v>
      </c>
      <c r="D901" s="12" t="n">
        <v>133</v>
      </c>
      <c r="E901" s="12" t="s">
        <v>1723</v>
      </c>
      <c r="F901" s="12" t="s">
        <v>132</v>
      </c>
      <c r="G901" s="12" t="s">
        <v>1766</v>
      </c>
      <c r="H901" s="12" t="s">
        <v>259</v>
      </c>
      <c r="I901" s="12" t="s">
        <v>478</v>
      </c>
      <c r="J901" s="12" t="s">
        <v>479</v>
      </c>
      <c r="K901" s="12" t="s">
        <v>28</v>
      </c>
      <c r="L901" s="12" t="s">
        <v>96</v>
      </c>
      <c r="M901" s="11" t="s">
        <v>88</v>
      </c>
    </row>
    <row r="902" customFormat="false" ht="28.35" hidden="false" customHeight="false" outlineLevel="0" collapsed="false">
      <c r="A902" s="11" t="s">
        <v>1767</v>
      </c>
      <c r="B902" s="12" t="s">
        <v>56</v>
      </c>
      <c r="C902" s="12" t="s">
        <v>55</v>
      </c>
      <c r="D902" s="12" t="n">
        <v>134</v>
      </c>
      <c r="E902" s="12" t="s">
        <v>1723</v>
      </c>
      <c r="F902" s="12" t="s">
        <v>132</v>
      </c>
      <c r="G902" s="12" t="s">
        <v>720</v>
      </c>
      <c r="H902" s="12" t="s">
        <v>259</v>
      </c>
      <c r="I902" s="12" t="s">
        <v>478</v>
      </c>
      <c r="J902" s="12" t="s">
        <v>479</v>
      </c>
      <c r="K902" s="12" t="s">
        <v>28</v>
      </c>
      <c r="L902" s="12" t="s">
        <v>96</v>
      </c>
      <c r="M902" s="11" t="s">
        <v>88</v>
      </c>
    </row>
    <row r="903" customFormat="false" ht="28.35" hidden="false" customHeight="false" outlineLevel="0" collapsed="false">
      <c r="A903" s="11" t="s">
        <v>1768</v>
      </c>
      <c r="B903" s="12" t="s">
        <v>56</v>
      </c>
      <c r="C903" s="12" t="s">
        <v>55</v>
      </c>
      <c r="D903" s="12" t="n">
        <v>135</v>
      </c>
      <c r="E903" s="12" t="s">
        <v>1723</v>
      </c>
      <c r="F903" s="12" t="s">
        <v>132</v>
      </c>
      <c r="G903" s="12" t="s">
        <v>1769</v>
      </c>
      <c r="H903" s="12" t="s">
        <v>259</v>
      </c>
      <c r="I903" s="12" t="s">
        <v>478</v>
      </c>
      <c r="J903" s="12" t="s">
        <v>479</v>
      </c>
      <c r="K903" s="12" t="s">
        <v>28</v>
      </c>
      <c r="L903" s="12" t="s">
        <v>96</v>
      </c>
      <c r="M903" s="11" t="s">
        <v>88</v>
      </c>
    </row>
    <row r="904" customFormat="false" ht="28.35" hidden="false" customHeight="false" outlineLevel="0" collapsed="false">
      <c r="A904" s="11" t="s">
        <v>1770</v>
      </c>
      <c r="B904" s="12" t="s">
        <v>56</v>
      </c>
      <c r="C904" s="12" t="s">
        <v>55</v>
      </c>
      <c r="D904" s="12" t="n">
        <v>136</v>
      </c>
      <c r="E904" s="12" t="s">
        <v>1723</v>
      </c>
      <c r="F904" s="12" t="s">
        <v>132</v>
      </c>
      <c r="G904" s="12" t="s">
        <v>1771</v>
      </c>
      <c r="H904" s="12" t="s">
        <v>259</v>
      </c>
      <c r="I904" s="12" t="s">
        <v>478</v>
      </c>
      <c r="J904" s="12" t="s">
        <v>479</v>
      </c>
      <c r="K904" s="12" t="s">
        <v>28</v>
      </c>
      <c r="L904" s="12" t="s">
        <v>96</v>
      </c>
      <c r="M904" s="11" t="s">
        <v>88</v>
      </c>
    </row>
    <row r="905" customFormat="false" ht="28.35" hidden="false" customHeight="false" outlineLevel="0" collapsed="false">
      <c r="A905" s="11" t="s">
        <v>1772</v>
      </c>
      <c r="B905" s="12" t="s">
        <v>56</v>
      </c>
      <c r="C905" s="12" t="s">
        <v>55</v>
      </c>
      <c r="D905" s="12" t="n">
        <v>137</v>
      </c>
      <c r="E905" s="12" t="s">
        <v>1723</v>
      </c>
      <c r="F905" s="12" t="s">
        <v>132</v>
      </c>
      <c r="G905" s="12" t="s">
        <v>1773</v>
      </c>
      <c r="H905" s="12" t="s">
        <v>259</v>
      </c>
      <c r="I905" s="12" t="s">
        <v>478</v>
      </c>
      <c r="J905" s="12" t="s">
        <v>479</v>
      </c>
      <c r="K905" s="12" t="s">
        <v>28</v>
      </c>
      <c r="L905" s="12" t="s">
        <v>96</v>
      </c>
      <c r="M905" s="11" t="s">
        <v>88</v>
      </c>
    </row>
    <row r="906" customFormat="false" ht="41.75" hidden="false" customHeight="false" outlineLevel="0" collapsed="false">
      <c r="A906" s="11" t="s">
        <v>1774</v>
      </c>
      <c r="B906" s="12" t="s">
        <v>56</v>
      </c>
      <c r="C906" s="12" t="s">
        <v>55</v>
      </c>
      <c r="D906" s="12" t="n">
        <v>138</v>
      </c>
      <c r="E906" s="12" t="s">
        <v>1723</v>
      </c>
      <c r="F906" s="12" t="s">
        <v>132</v>
      </c>
      <c r="G906" s="12" t="s">
        <v>1775</v>
      </c>
      <c r="H906" s="12" t="s">
        <v>259</v>
      </c>
      <c r="I906" s="12" t="s">
        <v>478</v>
      </c>
      <c r="J906" s="12" t="s">
        <v>479</v>
      </c>
      <c r="K906" s="12" t="s">
        <v>28</v>
      </c>
      <c r="L906" s="12" t="s">
        <v>96</v>
      </c>
      <c r="M906" s="11" t="s">
        <v>88</v>
      </c>
    </row>
    <row r="907" customFormat="false" ht="28.35" hidden="false" customHeight="false" outlineLevel="0" collapsed="false">
      <c r="A907" s="11" t="s">
        <v>1776</v>
      </c>
      <c r="B907" s="12" t="s">
        <v>58</v>
      </c>
      <c r="C907" s="12" t="s">
        <v>57</v>
      </c>
      <c r="D907" s="12" t="n">
        <v>1</v>
      </c>
      <c r="E907" s="12" t="s">
        <v>1777</v>
      </c>
      <c r="F907" s="12" t="s">
        <v>82</v>
      </c>
      <c r="G907" s="12" t="s">
        <v>1777</v>
      </c>
      <c r="H907" s="12" t="s">
        <v>1778</v>
      </c>
      <c r="I907" s="12" t="s">
        <v>158</v>
      </c>
      <c r="J907" s="12" t="s">
        <v>159</v>
      </c>
      <c r="K907" s="12" t="s">
        <v>19</v>
      </c>
      <c r="L907" s="12" t="s">
        <v>87</v>
      </c>
      <c r="M907" s="11" t="s">
        <v>88</v>
      </c>
    </row>
    <row r="908" customFormat="false" ht="28.35" hidden="false" customHeight="false" outlineLevel="0" collapsed="false">
      <c r="A908" s="11" t="s">
        <v>1779</v>
      </c>
      <c r="B908" s="12" t="s">
        <v>58</v>
      </c>
      <c r="C908" s="12" t="s">
        <v>57</v>
      </c>
      <c r="D908" s="12" t="n">
        <v>2</v>
      </c>
      <c r="E908" s="12" t="s">
        <v>1780</v>
      </c>
      <c r="F908" s="12" t="s">
        <v>82</v>
      </c>
      <c r="G908" s="12" t="s">
        <v>1780</v>
      </c>
      <c r="H908" s="12" t="s">
        <v>1778</v>
      </c>
      <c r="I908" s="12" t="s">
        <v>158</v>
      </c>
      <c r="J908" s="12" t="s">
        <v>159</v>
      </c>
      <c r="K908" s="12" t="s">
        <v>19</v>
      </c>
      <c r="L908" s="12" t="s">
        <v>87</v>
      </c>
      <c r="M908" s="11" t="s">
        <v>88</v>
      </c>
    </row>
    <row r="909" customFormat="false" ht="28.35" hidden="false" customHeight="false" outlineLevel="0" collapsed="false">
      <c r="A909" s="11" t="s">
        <v>1781</v>
      </c>
      <c r="B909" s="12" t="s">
        <v>58</v>
      </c>
      <c r="C909" s="12" t="s">
        <v>57</v>
      </c>
      <c r="D909" s="12" t="n">
        <v>3</v>
      </c>
      <c r="E909" s="12" t="s">
        <v>92</v>
      </c>
      <c r="F909" s="12" t="s">
        <v>82</v>
      </c>
      <c r="G909" s="12" t="s">
        <v>92</v>
      </c>
      <c r="H909" s="12" t="s">
        <v>1778</v>
      </c>
      <c r="I909" s="12" t="s">
        <v>93</v>
      </c>
      <c r="J909" s="12" t="s">
        <v>94</v>
      </c>
      <c r="K909" s="12" t="s">
        <v>95</v>
      </c>
      <c r="L909" s="12" t="s">
        <v>96</v>
      </c>
      <c r="M909" s="11" t="s">
        <v>88</v>
      </c>
    </row>
    <row r="910" customFormat="false" ht="28.35" hidden="false" customHeight="false" outlineLevel="0" collapsed="false">
      <c r="A910" s="11" t="s">
        <v>1782</v>
      </c>
      <c r="B910" s="12" t="s">
        <v>58</v>
      </c>
      <c r="C910" s="12" t="s">
        <v>57</v>
      </c>
      <c r="D910" s="12" t="n">
        <v>4</v>
      </c>
      <c r="E910" s="12" t="s">
        <v>92</v>
      </c>
      <c r="F910" s="12" t="s">
        <v>98</v>
      </c>
      <c r="G910" s="12" t="s">
        <v>99</v>
      </c>
      <c r="H910" s="12" t="s">
        <v>1778</v>
      </c>
      <c r="I910" s="12" t="s">
        <v>93</v>
      </c>
      <c r="J910" s="12" t="s">
        <v>94</v>
      </c>
      <c r="K910" s="12" t="s">
        <v>95</v>
      </c>
      <c r="L910" s="12" t="s">
        <v>96</v>
      </c>
      <c r="M910" s="11" t="s">
        <v>88</v>
      </c>
    </row>
    <row r="911" customFormat="false" ht="28.35" hidden="false" customHeight="false" outlineLevel="0" collapsed="false">
      <c r="A911" s="11" t="s">
        <v>1783</v>
      </c>
      <c r="B911" s="12" t="s">
        <v>58</v>
      </c>
      <c r="C911" s="12" t="s">
        <v>57</v>
      </c>
      <c r="D911" s="12" t="n">
        <v>5</v>
      </c>
      <c r="E911" s="12" t="s">
        <v>92</v>
      </c>
      <c r="F911" s="12" t="s">
        <v>98</v>
      </c>
      <c r="G911" s="12" t="s">
        <v>737</v>
      </c>
      <c r="H911" s="12" t="s">
        <v>1778</v>
      </c>
      <c r="I911" s="12" t="s">
        <v>93</v>
      </c>
      <c r="J911" s="12" t="s">
        <v>94</v>
      </c>
      <c r="K911" s="12" t="s">
        <v>95</v>
      </c>
      <c r="L911" s="12" t="s">
        <v>96</v>
      </c>
      <c r="M911" s="11" t="s">
        <v>88</v>
      </c>
    </row>
    <row r="912" customFormat="false" ht="28.35" hidden="false" customHeight="false" outlineLevel="0" collapsed="false">
      <c r="A912" s="11" t="s">
        <v>1784</v>
      </c>
      <c r="B912" s="12" t="s">
        <v>58</v>
      </c>
      <c r="C912" s="12" t="s">
        <v>57</v>
      </c>
      <c r="D912" s="12" t="n">
        <v>6</v>
      </c>
      <c r="E912" s="12" t="s">
        <v>92</v>
      </c>
      <c r="F912" s="12" t="s">
        <v>98</v>
      </c>
      <c r="G912" s="12" t="s">
        <v>1785</v>
      </c>
      <c r="H912" s="12" t="s">
        <v>1778</v>
      </c>
      <c r="I912" s="12" t="s">
        <v>93</v>
      </c>
      <c r="J912" s="12" t="s">
        <v>94</v>
      </c>
      <c r="K912" s="12" t="s">
        <v>95</v>
      </c>
      <c r="L912" s="12" t="s">
        <v>96</v>
      </c>
      <c r="M912" s="11" t="s">
        <v>88</v>
      </c>
    </row>
    <row r="913" customFormat="false" ht="28.35" hidden="false" customHeight="false" outlineLevel="0" collapsed="false">
      <c r="A913" s="11" t="s">
        <v>1786</v>
      </c>
      <c r="B913" s="12" t="s">
        <v>58</v>
      </c>
      <c r="C913" s="12" t="s">
        <v>57</v>
      </c>
      <c r="D913" s="12" t="n">
        <v>7</v>
      </c>
      <c r="E913" s="12" t="s">
        <v>92</v>
      </c>
      <c r="F913" s="12" t="s">
        <v>98</v>
      </c>
      <c r="G913" s="12" t="s">
        <v>1787</v>
      </c>
      <c r="H913" s="12" t="s">
        <v>1778</v>
      </c>
      <c r="I913" s="12" t="s">
        <v>93</v>
      </c>
      <c r="J913" s="12" t="s">
        <v>94</v>
      </c>
      <c r="K913" s="12" t="s">
        <v>95</v>
      </c>
      <c r="L913" s="12" t="s">
        <v>96</v>
      </c>
      <c r="M913" s="11" t="s">
        <v>88</v>
      </c>
    </row>
    <row r="914" customFormat="false" ht="28.35" hidden="false" customHeight="false" outlineLevel="0" collapsed="false">
      <c r="A914" s="11" t="s">
        <v>1788</v>
      </c>
      <c r="B914" s="12" t="s">
        <v>58</v>
      </c>
      <c r="C914" s="12" t="s">
        <v>57</v>
      </c>
      <c r="D914" s="12" t="n">
        <v>8</v>
      </c>
      <c r="E914" s="12" t="s">
        <v>92</v>
      </c>
      <c r="F914" s="12" t="s">
        <v>98</v>
      </c>
      <c r="G914" s="12" t="s">
        <v>1789</v>
      </c>
      <c r="H914" s="12" t="s">
        <v>1778</v>
      </c>
      <c r="I914" s="12" t="s">
        <v>93</v>
      </c>
      <c r="J914" s="12" t="s">
        <v>94</v>
      </c>
      <c r="K914" s="12" t="s">
        <v>95</v>
      </c>
      <c r="L914" s="12" t="s">
        <v>96</v>
      </c>
      <c r="M914" s="11" t="s">
        <v>88</v>
      </c>
    </row>
    <row r="915" customFormat="false" ht="28.35" hidden="false" customHeight="false" outlineLevel="0" collapsed="false">
      <c r="A915" s="11" t="s">
        <v>1790</v>
      </c>
      <c r="B915" s="12" t="s">
        <v>58</v>
      </c>
      <c r="C915" s="12" t="s">
        <v>57</v>
      </c>
      <c r="D915" s="12" t="n">
        <v>9</v>
      </c>
      <c r="E915" s="12" t="s">
        <v>92</v>
      </c>
      <c r="F915" s="12" t="s">
        <v>98</v>
      </c>
      <c r="G915" s="12" t="s">
        <v>1791</v>
      </c>
      <c r="H915" s="12" t="s">
        <v>1778</v>
      </c>
      <c r="I915" s="12" t="s">
        <v>93</v>
      </c>
      <c r="J915" s="12" t="s">
        <v>94</v>
      </c>
      <c r="K915" s="12" t="s">
        <v>95</v>
      </c>
      <c r="L915" s="12" t="s">
        <v>96</v>
      </c>
      <c r="M915" s="11" t="s">
        <v>88</v>
      </c>
    </row>
    <row r="916" customFormat="false" ht="55.2" hidden="false" customHeight="false" outlineLevel="0" collapsed="false">
      <c r="A916" s="11" t="s">
        <v>1792</v>
      </c>
      <c r="B916" s="12" t="s">
        <v>58</v>
      </c>
      <c r="C916" s="12" t="s">
        <v>57</v>
      </c>
      <c r="D916" s="12" t="n">
        <v>10</v>
      </c>
      <c r="E916" s="12" t="s">
        <v>92</v>
      </c>
      <c r="F916" s="12" t="s">
        <v>98</v>
      </c>
      <c r="G916" s="12" t="s">
        <v>1793</v>
      </c>
      <c r="H916" s="12" t="s">
        <v>1778</v>
      </c>
      <c r="I916" s="12" t="s">
        <v>93</v>
      </c>
      <c r="J916" s="12" t="s">
        <v>94</v>
      </c>
      <c r="K916" s="12" t="s">
        <v>95</v>
      </c>
      <c r="L916" s="12" t="s">
        <v>96</v>
      </c>
      <c r="M916" s="11" t="s">
        <v>88</v>
      </c>
    </row>
    <row r="917" customFormat="false" ht="28.35" hidden="false" customHeight="false" outlineLevel="0" collapsed="false">
      <c r="A917" s="11" t="s">
        <v>1794</v>
      </c>
      <c r="B917" s="12" t="s">
        <v>58</v>
      </c>
      <c r="C917" s="12" t="s">
        <v>57</v>
      </c>
      <c r="D917" s="12" t="n">
        <v>11</v>
      </c>
      <c r="E917" s="12" t="s">
        <v>525</v>
      </c>
      <c r="F917" s="12" t="s">
        <v>82</v>
      </c>
      <c r="G917" s="12" t="s">
        <v>525</v>
      </c>
      <c r="H917" s="12" t="s">
        <v>1778</v>
      </c>
      <c r="I917" s="12" t="s">
        <v>93</v>
      </c>
      <c r="J917" s="12" t="s">
        <v>94</v>
      </c>
      <c r="K917" s="12" t="s">
        <v>95</v>
      </c>
      <c r="L917" s="12" t="s">
        <v>96</v>
      </c>
      <c r="M917" s="11" t="s">
        <v>88</v>
      </c>
    </row>
    <row r="918" customFormat="false" ht="28.35" hidden="false" customHeight="false" outlineLevel="0" collapsed="false">
      <c r="A918" s="11" t="s">
        <v>1795</v>
      </c>
      <c r="B918" s="12" t="s">
        <v>58</v>
      </c>
      <c r="C918" s="12" t="s">
        <v>57</v>
      </c>
      <c r="D918" s="12" t="n">
        <v>12</v>
      </c>
      <c r="E918" s="12" t="s">
        <v>525</v>
      </c>
      <c r="F918" s="12" t="s">
        <v>98</v>
      </c>
      <c r="G918" s="12" t="s">
        <v>115</v>
      </c>
      <c r="H918" s="12" t="s">
        <v>1778</v>
      </c>
      <c r="I918" s="12" t="s">
        <v>93</v>
      </c>
      <c r="J918" s="12" t="s">
        <v>94</v>
      </c>
      <c r="K918" s="12" t="s">
        <v>95</v>
      </c>
      <c r="L918" s="12" t="s">
        <v>96</v>
      </c>
      <c r="M918" s="11" t="s">
        <v>88</v>
      </c>
    </row>
    <row r="919" customFormat="false" ht="28.35" hidden="false" customHeight="false" outlineLevel="0" collapsed="false">
      <c r="A919" s="11" t="s">
        <v>1796</v>
      </c>
      <c r="B919" s="12" t="s">
        <v>58</v>
      </c>
      <c r="C919" s="12" t="s">
        <v>57</v>
      </c>
      <c r="D919" s="12" t="n">
        <v>13</v>
      </c>
      <c r="E919" s="12" t="s">
        <v>525</v>
      </c>
      <c r="F919" s="12" t="s">
        <v>98</v>
      </c>
      <c r="G919" s="12" t="s">
        <v>117</v>
      </c>
      <c r="H919" s="12" t="s">
        <v>1778</v>
      </c>
      <c r="I919" s="12" t="s">
        <v>93</v>
      </c>
      <c r="J919" s="12" t="s">
        <v>94</v>
      </c>
      <c r="K919" s="12" t="s">
        <v>95</v>
      </c>
      <c r="L919" s="12" t="s">
        <v>96</v>
      </c>
      <c r="M919" s="11" t="s">
        <v>88</v>
      </c>
    </row>
    <row r="920" customFormat="false" ht="28.35" hidden="false" customHeight="false" outlineLevel="0" collapsed="false">
      <c r="A920" s="11" t="s">
        <v>1797</v>
      </c>
      <c r="B920" s="12" t="s">
        <v>58</v>
      </c>
      <c r="C920" s="12" t="s">
        <v>57</v>
      </c>
      <c r="D920" s="12" t="n">
        <v>14</v>
      </c>
      <c r="E920" s="12" t="s">
        <v>525</v>
      </c>
      <c r="F920" s="12" t="s">
        <v>98</v>
      </c>
      <c r="G920" s="12" t="s">
        <v>1798</v>
      </c>
      <c r="H920" s="12" t="s">
        <v>1778</v>
      </c>
      <c r="I920" s="12" t="s">
        <v>93</v>
      </c>
      <c r="J920" s="12" t="s">
        <v>94</v>
      </c>
      <c r="K920" s="12" t="s">
        <v>95</v>
      </c>
      <c r="L920" s="12" t="s">
        <v>96</v>
      </c>
      <c r="M920" s="11" t="s">
        <v>88</v>
      </c>
    </row>
    <row r="921" customFormat="false" ht="28.35" hidden="false" customHeight="false" outlineLevel="0" collapsed="false">
      <c r="A921" s="11" t="s">
        <v>1799</v>
      </c>
      <c r="B921" s="12" t="s">
        <v>58</v>
      </c>
      <c r="C921" s="12" t="s">
        <v>57</v>
      </c>
      <c r="D921" s="12" t="n">
        <v>15</v>
      </c>
      <c r="E921" s="12" t="s">
        <v>525</v>
      </c>
      <c r="F921" s="12" t="s">
        <v>98</v>
      </c>
      <c r="G921" s="12" t="s">
        <v>1800</v>
      </c>
      <c r="H921" s="12" t="s">
        <v>1778</v>
      </c>
      <c r="I921" s="12" t="s">
        <v>93</v>
      </c>
      <c r="J921" s="12" t="s">
        <v>94</v>
      </c>
      <c r="K921" s="12" t="s">
        <v>95</v>
      </c>
      <c r="L921" s="12" t="s">
        <v>96</v>
      </c>
      <c r="M921" s="11" t="s">
        <v>88</v>
      </c>
    </row>
    <row r="922" customFormat="false" ht="28.35" hidden="false" customHeight="false" outlineLevel="0" collapsed="false">
      <c r="A922" s="11" t="s">
        <v>1801</v>
      </c>
      <c r="B922" s="12" t="s">
        <v>58</v>
      </c>
      <c r="C922" s="12" t="s">
        <v>57</v>
      </c>
      <c r="D922" s="12" t="n">
        <v>16</v>
      </c>
      <c r="E922" s="12" t="s">
        <v>525</v>
      </c>
      <c r="F922" s="12" t="s">
        <v>98</v>
      </c>
      <c r="G922" s="12" t="s">
        <v>1802</v>
      </c>
      <c r="H922" s="12" t="s">
        <v>1778</v>
      </c>
      <c r="I922" s="12" t="s">
        <v>93</v>
      </c>
      <c r="J922" s="12" t="s">
        <v>94</v>
      </c>
      <c r="K922" s="12" t="s">
        <v>95</v>
      </c>
      <c r="L922" s="12" t="s">
        <v>96</v>
      </c>
      <c r="M922" s="11" t="s">
        <v>88</v>
      </c>
    </row>
    <row r="923" customFormat="false" ht="28.35" hidden="false" customHeight="false" outlineLevel="0" collapsed="false">
      <c r="A923" s="11" t="s">
        <v>1803</v>
      </c>
      <c r="B923" s="12" t="s">
        <v>58</v>
      </c>
      <c r="C923" s="12" t="s">
        <v>57</v>
      </c>
      <c r="D923" s="12" t="n">
        <v>17</v>
      </c>
      <c r="E923" s="12" t="s">
        <v>525</v>
      </c>
      <c r="F923" s="12" t="s">
        <v>98</v>
      </c>
      <c r="G923" s="12" t="s">
        <v>1804</v>
      </c>
      <c r="H923" s="12" t="s">
        <v>1778</v>
      </c>
      <c r="I923" s="12" t="s">
        <v>93</v>
      </c>
      <c r="J923" s="12" t="s">
        <v>94</v>
      </c>
      <c r="K923" s="12" t="s">
        <v>95</v>
      </c>
      <c r="L923" s="12" t="s">
        <v>96</v>
      </c>
      <c r="M923" s="11" t="s">
        <v>88</v>
      </c>
    </row>
    <row r="924" customFormat="false" ht="28.35" hidden="false" customHeight="false" outlineLevel="0" collapsed="false">
      <c r="A924" s="11" t="s">
        <v>1805</v>
      </c>
      <c r="B924" s="12" t="s">
        <v>58</v>
      </c>
      <c r="C924" s="12" t="s">
        <v>57</v>
      </c>
      <c r="D924" s="12" t="n">
        <v>18</v>
      </c>
      <c r="E924" s="12" t="s">
        <v>525</v>
      </c>
      <c r="F924" s="12" t="s">
        <v>98</v>
      </c>
      <c r="G924" s="12" t="s">
        <v>1806</v>
      </c>
      <c r="H924" s="12" t="s">
        <v>1778</v>
      </c>
      <c r="I924" s="12" t="s">
        <v>93</v>
      </c>
      <c r="J924" s="12" t="s">
        <v>94</v>
      </c>
      <c r="K924" s="12" t="s">
        <v>95</v>
      </c>
      <c r="L924" s="12" t="s">
        <v>96</v>
      </c>
      <c r="M924" s="11" t="s">
        <v>88</v>
      </c>
    </row>
    <row r="925" customFormat="false" ht="28.35" hidden="false" customHeight="false" outlineLevel="0" collapsed="false">
      <c r="A925" s="11" t="s">
        <v>1807</v>
      </c>
      <c r="B925" s="12" t="s">
        <v>58</v>
      </c>
      <c r="C925" s="12" t="s">
        <v>57</v>
      </c>
      <c r="D925" s="12" t="n">
        <v>19</v>
      </c>
      <c r="E925" s="12" t="s">
        <v>525</v>
      </c>
      <c r="F925" s="12" t="s">
        <v>98</v>
      </c>
      <c r="G925" s="12" t="s">
        <v>1808</v>
      </c>
      <c r="H925" s="12" t="s">
        <v>1778</v>
      </c>
      <c r="I925" s="12" t="s">
        <v>93</v>
      </c>
      <c r="J925" s="12" t="s">
        <v>94</v>
      </c>
      <c r="K925" s="12" t="s">
        <v>95</v>
      </c>
      <c r="L925" s="12" t="s">
        <v>96</v>
      </c>
      <c r="M925" s="11" t="s">
        <v>88</v>
      </c>
    </row>
    <row r="926" customFormat="false" ht="28.35" hidden="false" customHeight="false" outlineLevel="0" collapsed="false">
      <c r="A926" s="11" t="s">
        <v>1809</v>
      </c>
      <c r="B926" s="12" t="s">
        <v>58</v>
      </c>
      <c r="C926" s="12" t="s">
        <v>57</v>
      </c>
      <c r="D926" s="12" t="n">
        <v>20</v>
      </c>
      <c r="E926" s="12" t="s">
        <v>525</v>
      </c>
      <c r="F926" s="12" t="s">
        <v>98</v>
      </c>
      <c r="G926" s="12" t="s">
        <v>130</v>
      </c>
      <c r="H926" s="12" t="s">
        <v>1778</v>
      </c>
      <c r="I926" s="12" t="s">
        <v>93</v>
      </c>
      <c r="J926" s="12" t="s">
        <v>94</v>
      </c>
      <c r="K926" s="12" t="s">
        <v>95</v>
      </c>
      <c r="L926" s="12" t="s">
        <v>96</v>
      </c>
      <c r="M926" s="11" t="s">
        <v>88</v>
      </c>
    </row>
    <row r="927" customFormat="false" ht="28.35" hidden="false" customHeight="false" outlineLevel="0" collapsed="false">
      <c r="A927" s="11" t="s">
        <v>1810</v>
      </c>
      <c r="B927" s="12" t="s">
        <v>58</v>
      </c>
      <c r="C927" s="12" t="s">
        <v>57</v>
      </c>
      <c r="D927" s="12" t="n">
        <v>21</v>
      </c>
      <c r="E927" s="12" t="s">
        <v>525</v>
      </c>
      <c r="F927" s="12" t="s">
        <v>132</v>
      </c>
      <c r="G927" s="12" t="s">
        <v>1811</v>
      </c>
      <c r="H927" s="12" t="s">
        <v>1778</v>
      </c>
      <c r="I927" s="12" t="s">
        <v>93</v>
      </c>
      <c r="J927" s="12" t="s">
        <v>94</v>
      </c>
      <c r="K927" s="12" t="s">
        <v>95</v>
      </c>
      <c r="L927" s="12" t="s">
        <v>96</v>
      </c>
      <c r="M927" s="11" t="s">
        <v>88</v>
      </c>
    </row>
    <row r="928" customFormat="false" ht="28.35" hidden="false" customHeight="false" outlineLevel="0" collapsed="false">
      <c r="A928" s="11" t="s">
        <v>1812</v>
      </c>
      <c r="B928" s="12" t="s">
        <v>58</v>
      </c>
      <c r="C928" s="12" t="s">
        <v>57</v>
      </c>
      <c r="D928" s="12" t="n">
        <v>22</v>
      </c>
      <c r="E928" s="12" t="s">
        <v>525</v>
      </c>
      <c r="F928" s="12" t="s">
        <v>132</v>
      </c>
      <c r="G928" s="12" t="s">
        <v>1290</v>
      </c>
      <c r="H928" s="12" t="s">
        <v>1778</v>
      </c>
      <c r="I928" s="12" t="s">
        <v>93</v>
      </c>
      <c r="J928" s="12" t="s">
        <v>94</v>
      </c>
      <c r="K928" s="12" t="s">
        <v>95</v>
      </c>
      <c r="L928" s="12" t="s">
        <v>96</v>
      </c>
      <c r="M928" s="11" t="s">
        <v>88</v>
      </c>
    </row>
    <row r="929" customFormat="false" ht="28.35" hidden="false" customHeight="false" outlineLevel="0" collapsed="false">
      <c r="A929" s="11" t="s">
        <v>1813</v>
      </c>
      <c r="B929" s="12" t="s">
        <v>58</v>
      </c>
      <c r="C929" s="12" t="s">
        <v>57</v>
      </c>
      <c r="D929" s="12" t="n">
        <v>23</v>
      </c>
      <c r="E929" s="12" t="s">
        <v>525</v>
      </c>
      <c r="F929" s="12" t="s">
        <v>132</v>
      </c>
      <c r="G929" s="12" t="s">
        <v>1814</v>
      </c>
      <c r="H929" s="12" t="s">
        <v>1778</v>
      </c>
      <c r="I929" s="12" t="s">
        <v>93</v>
      </c>
      <c r="J929" s="12" t="s">
        <v>94</v>
      </c>
      <c r="K929" s="12" t="s">
        <v>95</v>
      </c>
      <c r="L929" s="12" t="s">
        <v>96</v>
      </c>
      <c r="M929" s="11" t="s">
        <v>88</v>
      </c>
    </row>
    <row r="930" customFormat="false" ht="28.35" hidden="false" customHeight="false" outlineLevel="0" collapsed="false">
      <c r="A930" s="11" t="s">
        <v>1815</v>
      </c>
      <c r="B930" s="12" t="s">
        <v>58</v>
      </c>
      <c r="C930" s="12" t="s">
        <v>57</v>
      </c>
      <c r="D930" s="12" t="n">
        <v>24</v>
      </c>
      <c r="E930" s="12" t="s">
        <v>525</v>
      </c>
      <c r="F930" s="12" t="s">
        <v>132</v>
      </c>
      <c r="G930" s="12" t="s">
        <v>1816</v>
      </c>
      <c r="H930" s="12" t="s">
        <v>1778</v>
      </c>
      <c r="I930" s="12" t="s">
        <v>93</v>
      </c>
      <c r="J930" s="12" t="s">
        <v>94</v>
      </c>
      <c r="K930" s="12" t="s">
        <v>95</v>
      </c>
      <c r="L930" s="12" t="s">
        <v>96</v>
      </c>
      <c r="M930" s="11" t="s">
        <v>88</v>
      </c>
    </row>
    <row r="931" customFormat="false" ht="28.35" hidden="false" customHeight="false" outlineLevel="0" collapsed="false">
      <c r="A931" s="11" t="s">
        <v>1817</v>
      </c>
      <c r="B931" s="12" t="s">
        <v>58</v>
      </c>
      <c r="C931" s="12" t="s">
        <v>57</v>
      </c>
      <c r="D931" s="12" t="n">
        <v>25</v>
      </c>
      <c r="E931" s="12" t="s">
        <v>525</v>
      </c>
      <c r="F931" s="12" t="s">
        <v>132</v>
      </c>
      <c r="G931" s="12" t="s">
        <v>1818</v>
      </c>
      <c r="H931" s="12" t="s">
        <v>1778</v>
      </c>
      <c r="I931" s="12" t="s">
        <v>93</v>
      </c>
      <c r="J931" s="12" t="s">
        <v>94</v>
      </c>
      <c r="K931" s="12" t="s">
        <v>95</v>
      </c>
      <c r="L931" s="12" t="s">
        <v>96</v>
      </c>
      <c r="M931" s="11" t="s">
        <v>88</v>
      </c>
    </row>
    <row r="932" customFormat="false" ht="28.35" hidden="false" customHeight="false" outlineLevel="0" collapsed="false">
      <c r="A932" s="11" t="s">
        <v>1819</v>
      </c>
      <c r="B932" s="12" t="s">
        <v>58</v>
      </c>
      <c r="C932" s="12" t="s">
        <v>57</v>
      </c>
      <c r="D932" s="12" t="n">
        <v>26</v>
      </c>
      <c r="E932" s="12" t="s">
        <v>525</v>
      </c>
      <c r="F932" s="12" t="s">
        <v>132</v>
      </c>
      <c r="G932" s="12" t="s">
        <v>1820</v>
      </c>
      <c r="H932" s="12" t="s">
        <v>1778</v>
      </c>
      <c r="I932" s="12" t="s">
        <v>93</v>
      </c>
      <c r="J932" s="12" t="s">
        <v>94</v>
      </c>
      <c r="K932" s="12" t="s">
        <v>95</v>
      </c>
      <c r="L932" s="12" t="s">
        <v>96</v>
      </c>
      <c r="M932" s="11" t="s">
        <v>88</v>
      </c>
    </row>
    <row r="933" customFormat="false" ht="28.35" hidden="false" customHeight="false" outlineLevel="0" collapsed="false">
      <c r="A933" s="11" t="s">
        <v>1821</v>
      </c>
      <c r="B933" s="12" t="s">
        <v>58</v>
      </c>
      <c r="C933" s="12" t="s">
        <v>57</v>
      </c>
      <c r="D933" s="12" t="n">
        <v>27</v>
      </c>
      <c r="E933" s="12" t="s">
        <v>525</v>
      </c>
      <c r="F933" s="12" t="s">
        <v>132</v>
      </c>
      <c r="G933" s="12" t="s">
        <v>1822</v>
      </c>
      <c r="H933" s="12" t="s">
        <v>1778</v>
      </c>
      <c r="I933" s="12" t="s">
        <v>93</v>
      </c>
      <c r="J933" s="12" t="s">
        <v>94</v>
      </c>
      <c r="K933" s="12" t="s">
        <v>95</v>
      </c>
      <c r="L933" s="12" t="s">
        <v>96</v>
      </c>
      <c r="M933" s="11" t="s">
        <v>88</v>
      </c>
    </row>
    <row r="934" customFormat="false" ht="28.35" hidden="false" customHeight="false" outlineLevel="0" collapsed="false">
      <c r="A934" s="11" t="s">
        <v>1823</v>
      </c>
      <c r="B934" s="12" t="s">
        <v>58</v>
      </c>
      <c r="C934" s="12" t="s">
        <v>57</v>
      </c>
      <c r="D934" s="12" t="n">
        <v>28</v>
      </c>
      <c r="E934" s="12" t="s">
        <v>525</v>
      </c>
      <c r="F934" s="12" t="s">
        <v>132</v>
      </c>
      <c r="G934" s="12" t="s">
        <v>1824</v>
      </c>
      <c r="H934" s="12" t="s">
        <v>1778</v>
      </c>
      <c r="I934" s="12" t="s">
        <v>93</v>
      </c>
      <c r="J934" s="12" t="s">
        <v>94</v>
      </c>
      <c r="K934" s="12" t="s">
        <v>95</v>
      </c>
      <c r="L934" s="12" t="s">
        <v>96</v>
      </c>
      <c r="M934" s="11" t="s">
        <v>88</v>
      </c>
    </row>
    <row r="935" customFormat="false" ht="28.35" hidden="false" customHeight="false" outlineLevel="0" collapsed="false">
      <c r="A935" s="11" t="s">
        <v>1825</v>
      </c>
      <c r="B935" s="12" t="s">
        <v>58</v>
      </c>
      <c r="C935" s="12" t="s">
        <v>57</v>
      </c>
      <c r="D935" s="12" t="n">
        <v>29</v>
      </c>
      <c r="E935" s="12" t="s">
        <v>525</v>
      </c>
      <c r="F935" s="12" t="s">
        <v>132</v>
      </c>
      <c r="G935" s="12" t="s">
        <v>1826</v>
      </c>
      <c r="H935" s="12" t="s">
        <v>1778</v>
      </c>
      <c r="I935" s="12" t="s">
        <v>93</v>
      </c>
      <c r="J935" s="12" t="s">
        <v>94</v>
      </c>
      <c r="K935" s="12" t="s">
        <v>95</v>
      </c>
      <c r="L935" s="12" t="s">
        <v>96</v>
      </c>
      <c r="M935" s="11" t="s">
        <v>88</v>
      </c>
    </row>
    <row r="936" customFormat="false" ht="28.35" hidden="false" customHeight="false" outlineLevel="0" collapsed="false">
      <c r="A936" s="11" t="s">
        <v>1827</v>
      </c>
      <c r="B936" s="12" t="s">
        <v>58</v>
      </c>
      <c r="C936" s="12" t="s">
        <v>57</v>
      </c>
      <c r="D936" s="12" t="n">
        <v>30</v>
      </c>
      <c r="E936" s="12" t="s">
        <v>525</v>
      </c>
      <c r="F936" s="12" t="s">
        <v>132</v>
      </c>
      <c r="G936" s="12" t="s">
        <v>1828</v>
      </c>
      <c r="H936" s="12" t="s">
        <v>1778</v>
      </c>
      <c r="I936" s="12" t="s">
        <v>93</v>
      </c>
      <c r="J936" s="12" t="s">
        <v>94</v>
      </c>
      <c r="K936" s="12" t="s">
        <v>95</v>
      </c>
      <c r="L936" s="12" t="s">
        <v>96</v>
      </c>
      <c r="M936" s="11" t="s">
        <v>88</v>
      </c>
    </row>
    <row r="937" customFormat="false" ht="28.35" hidden="false" customHeight="false" outlineLevel="0" collapsed="false">
      <c r="A937" s="11" t="s">
        <v>1829</v>
      </c>
      <c r="B937" s="12" t="s">
        <v>58</v>
      </c>
      <c r="C937" s="12" t="s">
        <v>57</v>
      </c>
      <c r="D937" s="12" t="n">
        <v>31</v>
      </c>
      <c r="E937" s="12" t="s">
        <v>525</v>
      </c>
      <c r="F937" s="12" t="s">
        <v>132</v>
      </c>
      <c r="G937" s="12" t="s">
        <v>1830</v>
      </c>
      <c r="H937" s="12" t="s">
        <v>1778</v>
      </c>
      <c r="I937" s="12" t="s">
        <v>93</v>
      </c>
      <c r="J937" s="12" t="s">
        <v>94</v>
      </c>
      <c r="K937" s="12" t="s">
        <v>95</v>
      </c>
      <c r="L937" s="12" t="s">
        <v>96</v>
      </c>
      <c r="M937" s="11" t="s">
        <v>88</v>
      </c>
    </row>
    <row r="938" customFormat="false" ht="28.35" hidden="false" customHeight="false" outlineLevel="0" collapsed="false">
      <c r="A938" s="11" t="s">
        <v>1831</v>
      </c>
      <c r="B938" s="12" t="s">
        <v>58</v>
      </c>
      <c r="C938" s="12" t="s">
        <v>57</v>
      </c>
      <c r="D938" s="12" t="n">
        <v>32</v>
      </c>
      <c r="E938" s="12" t="s">
        <v>525</v>
      </c>
      <c r="F938" s="12" t="s">
        <v>98</v>
      </c>
      <c r="G938" s="12" t="s">
        <v>1832</v>
      </c>
      <c r="H938" s="12" t="s">
        <v>1778</v>
      </c>
      <c r="I938" s="12" t="s">
        <v>93</v>
      </c>
      <c r="J938" s="12" t="s">
        <v>94</v>
      </c>
      <c r="K938" s="12" t="s">
        <v>95</v>
      </c>
      <c r="L938" s="12" t="s">
        <v>96</v>
      </c>
      <c r="M938" s="11" t="s">
        <v>88</v>
      </c>
    </row>
    <row r="939" customFormat="false" ht="28.35" hidden="false" customHeight="false" outlineLevel="0" collapsed="false">
      <c r="A939" s="11" t="s">
        <v>1833</v>
      </c>
      <c r="B939" s="12" t="s">
        <v>58</v>
      </c>
      <c r="C939" s="12" t="s">
        <v>57</v>
      </c>
      <c r="D939" s="12" t="n">
        <v>33</v>
      </c>
      <c r="E939" s="12" t="s">
        <v>1834</v>
      </c>
      <c r="F939" s="12" t="s">
        <v>82</v>
      </c>
      <c r="G939" s="12" t="s">
        <v>1834</v>
      </c>
      <c r="H939" s="12" t="s">
        <v>1778</v>
      </c>
      <c r="I939" s="12" t="s">
        <v>158</v>
      </c>
      <c r="J939" s="12" t="s">
        <v>159</v>
      </c>
      <c r="K939" s="12" t="s">
        <v>19</v>
      </c>
      <c r="L939" s="12" t="s">
        <v>87</v>
      </c>
      <c r="M939" s="11" t="s">
        <v>88</v>
      </c>
    </row>
    <row r="940" customFormat="false" ht="28.35" hidden="false" customHeight="false" outlineLevel="0" collapsed="false">
      <c r="A940" s="11" t="s">
        <v>1835</v>
      </c>
      <c r="B940" s="12" t="s">
        <v>58</v>
      </c>
      <c r="C940" s="12" t="s">
        <v>57</v>
      </c>
      <c r="D940" s="12" t="n">
        <v>34</v>
      </c>
      <c r="E940" s="12" t="s">
        <v>1834</v>
      </c>
      <c r="F940" s="12" t="s">
        <v>132</v>
      </c>
      <c r="G940" s="12" t="s">
        <v>1836</v>
      </c>
      <c r="H940" s="12" t="s">
        <v>1778</v>
      </c>
      <c r="I940" s="12" t="s">
        <v>164</v>
      </c>
      <c r="J940" s="12" t="s">
        <v>165</v>
      </c>
      <c r="K940" s="12" t="s">
        <v>16</v>
      </c>
      <c r="L940" s="12" t="s">
        <v>87</v>
      </c>
      <c r="M940" s="11" t="s">
        <v>88</v>
      </c>
    </row>
    <row r="941" customFormat="false" ht="28.35" hidden="false" customHeight="false" outlineLevel="0" collapsed="false">
      <c r="A941" s="11" t="s">
        <v>1837</v>
      </c>
      <c r="B941" s="12" t="s">
        <v>58</v>
      </c>
      <c r="C941" s="12" t="s">
        <v>57</v>
      </c>
      <c r="D941" s="12" t="n">
        <v>35</v>
      </c>
      <c r="E941" s="12" t="s">
        <v>1834</v>
      </c>
      <c r="F941" s="12" t="s">
        <v>132</v>
      </c>
      <c r="G941" s="12" t="s">
        <v>1838</v>
      </c>
      <c r="H941" s="12" t="s">
        <v>1778</v>
      </c>
      <c r="I941" s="12" t="s">
        <v>164</v>
      </c>
      <c r="J941" s="12" t="s">
        <v>165</v>
      </c>
      <c r="K941" s="12" t="s">
        <v>16</v>
      </c>
      <c r="L941" s="12" t="s">
        <v>87</v>
      </c>
      <c r="M941" s="11" t="s">
        <v>88</v>
      </c>
    </row>
    <row r="942" customFormat="false" ht="28.35" hidden="false" customHeight="false" outlineLevel="0" collapsed="false">
      <c r="A942" s="11" t="s">
        <v>1839</v>
      </c>
      <c r="B942" s="12" t="s">
        <v>58</v>
      </c>
      <c r="C942" s="12" t="s">
        <v>57</v>
      </c>
      <c r="D942" s="12" t="n">
        <v>36</v>
      </c>
      <c r="E942" s="12" t="s">
        <v>1834</v>
      </c>
      <c r="F942" s="12" t="s">
        <v>132</v>
      </c>
      <c r="G942" s="12" t="s">
        <v>1840</v>
      </c>
      <c r="H942" s="12" t="s">
        <v>1778</v>
      </c>
      <c r="I942" s="12" t="s">
        <v>84</v>
      </c>
      <c r="J942" s="12" t="s">
        <v>85</v>
      </c>
      <c r="K942" s="12" t="s">
        <v>86</v>
      </c>
      <c r="L942" s="12" t="s">
        <v>87</v>
      </c>
      <c r="M942" s="11" t="s">
        <v>88</v>
      </c>
    </row>
    <row r="943" customFormat="false" ht="28.35" hidden="false" customHeight="false" outlineLevel="0" collapsed="false">
      <c r="A943" s="11" t="s">
        <v>1841</v>
      </c>
      <c r="B943" s="12" t="s">
        <v>58</v>
      </c>
      <c r="C943" s="12" t="s">
        <v>57</v>
      </c>
      <c r="D943" s="12" t="n">
        <v>37</v>
      </c>
      <c r="E943" s="12" t="s">
        <v>1834</v>
      </c>
      <c r="F943" s="12" t="s">
        <v>132</v>
      </c>
      <c r="G943" s="12" t="s">
        <v>1842</v>
      </c>
      <c r="H943" s="12" t="s">
        <v>1778</v>
      </c>
      <c r="I943" s="12" t="s">
        <v>164</v>
      </c>
      <c r="J943" s="12" t="s">
        <v>165</v>
      </c>
      <c r="K943" s="12" t="s">
        <v>16</v>
      </c>
      <c r="L943" s="12" t="s">
        <v>87</v>
      </c>
      <c r="M943" s="11" t="s">
        <v>88</v>
      </c>
    </row>
    <row r="944" customFormat="false" ht="28.35" hidden="false" customHeight="false" outlineLevel="0" collapsed="false">
      <c r="A944" s="11" t="s">
        <v>1843</v>
      </c>
      <c r="B944" s="12" t="s">
        <v>58</v>
      </c>
      <c r="C944" s="12" t="s">
        <v>57</v>
      </c>
      <c r="D944" s="12" t="n">
        <v>38</v>
      </c>
      <c r="E944" s="12" t="s">
        <v>1834</v>
      </c>
      <c r="F944" s="12" t="s">
        <v>132</v>
      </c>
      <c r="G944" s="12" t="s">
        <v>1844</v>
      </c>
      <c r="H944" s="12" t="s">
        <v>1778</v>
      </c>
      <c r="I944" s="12" t="s">
        <v>164</v>
      </c>
      <c r="J944" s="12" t="s">
        <v>165</v>
      </c>
      <c r="K944" s="12" t="s">
        <v>16</v>
      </c>
      <c r="L944" s="12" t="s">
        <v>87</v>
      </c>
      <c r="M944" s="11" t="s">
        <v>88</v>
      </c>
    </row>
    <row r="945" customFormat="false" ht="28.35" hidden="false" customHeight="false" outlineLevel="0" collapsed="false">
      <c r="A945" s="11" t="s">
        <v>1845</v>
      </c>
      <c r="B945" s="12" t="s">
        <v>58</v>
      </c>
      <c r="C945" s="12" t="s">
        <v>57</v>
      </c>
      <c r="D945" s="12" t="n">
        <v>39</v>
      </c>
      <c r="E945" s="12" t="s">
        <v>1834</v>
      </c>
      <c r="F945" s="12" t="s">
        <v>132</v>
      </c>
      <c r="G945" s="12" t="s">
        <v>1846</v>
      </c>
      <c r="H945" s="12" t="s">
        <v>1778</v>
      </c>
      <c r="I945" s="12" t="s">
        <v>164</v>
      </c>
      <c r="J945" s="12" t="s">
        <v>165</v>
      </c>
      <c r="K945" s="12" t="s">
        <v>16</v>
      </c>
      <c r="L945" s="12" t="s">
        <v>87</v>
      </c>
      <c r="M945" s="11" t="s">
        <v>88</v>
      </c>
    </row>
    <row r="946" customFormat="false" ht="28.35" hidden="false" customHeight="false" outlineLevel="0" collapsed="false">
      <c r="A946" s="11" t="s">
        <v>1847</v>
      </c>
      <c r="B946" s="12" t="s">
        <v>58</v>
      </c>
      <c r="C946" s="12" t="s">
        <v>57</v>
      </c>
      <c r="D946" s="12" t="n">
        <v>40</v>
      </c>
      <c r="E946" s="12" t="s">
        <v>1834</v>
      </c>
      <c r="F946" s="12" t="s">
        <v>132</v>
      </c>
      <c r="G946" s="12" t="s">
        <v>1848</v>
      </c>
      <c r="H946" s="12" t="s">
        <v>1778</v>
      </c>
      <c r="I946" s="12" t="s">
        <v>164</v>
      </c>
      <c r="J946" s="12" t="s">
        <v>165</v>
      </c>
      <c r="K946" s="12" t="s">
        <v>16</v>
      </c>
      <c r="L946" s="12" t="s">
        <v>87</v>
      </c>
      <c r="M946" s="11" t="s">
        <v>88</v>
      </c>
    </row>
    <row r="947" customFormat="false" ht="28.35" hidden="false" customHeight="false" outlineLevel="0" collapsed="false">
      <c r="A947" s="11" t="s">
        <v>1849</v>
      </c>
      <c r="B947" s="12" t="s">
        <v>58</v>
      </c>
      <c r="C947" s="12" t="s">
        <v>57</v>
      </c>
      <c r="D947" s="12" t="n">
        <v>41</v>
      </c>
      <c r="E947" s="12" t="s">
        <v>1834</v>
      </c>
      <c r="F947" s="12" t="s">
        <v>132</v>
      </c>
      <c r="G947" s="12" t="s">
        <v>236</v>
      </c>
      <c r="H947" s="12" t="s">
        <v>1778</v>
      </c>
      <c r="I947" s="12" t="s">
        <v>164</v>
      </c>
      <c r="J947" s="12" t="s">
        <v>165</v>
      </c>
      <c r="K947" s="12" t="s">
        <v>16</v>
      </c>
      <c r="L947" s="12" t="s">
        <v>87</v>
      </c>
      <c r="M947" s="11" t="s">
        <v>88</v>
      </c>
    </row>
    <row r="948" customFormat="false" ht="28.35" hidden="false" customHeight="false" outlineLevel="0" collapsed="false">
      <c r="A948" s="11" t="s">
        <v>1850</v>
      </c>
      <c r="B948" s="12" t="s">
        <v>58</v>
      </c>
      <c r="C948" s="12" t="s">
        <v>57</v>
      </c>
      <c r="D948" s="12" t="n">
        <v>42</v>
      </c>
      <c r="E948" s="12" t="s">
        <v>1851</v>
      </c>
      <c r="F948" s="12" t="s">
        <v>82</v>
      </c>
      <c r="G948" s="12" t="s">
        <v>1851</v>
      </c>
      <c r="H948" s="12" t="s">
        <v>1778</v>
      </c>
      <c r="I948" s="12" t="s">
        <v>158</v>
      </c>
      <c r="J948" s="12" t="s">
        <v>159</v>
      </c>
      <c r="K948" s="12" t="s">
        <v>19</v>
      </c>
      <c r="L948" s="12" t="s">
        <v>87</v>
      </c>
      <c r="M948" s="11" t="s">
        <v>88</v>
      </c>
    </row>
    <row r="949" customFormat="false" ht="28.35" hidden="false" customHeight="false" outlineLevel="0" collapsed="false">
      <c r="A949" s="11" t="s">
        <v>1852</v>
      </c>
      <c r="B949" s="12" t="s">
        <v>58</v>
      </c>
      <c r="C949" s="12" t="s">
        <v>57</v>
      </c>
      <c r="D949" s="12" t="n">
        <v>43</v>
      </c>
      <c r="E949" s="12" t="s">
        <v>1853</v>
      </c>
      <c r="F949" s="12" t="s">
        <v>82</v>
      </c>
      <c r="G949" s="12" t="s">
        <v>1853</v>
      </c>
      <c r="H949" s="12" t="s">
        <v>1778</v>
      </c>
      <c r="I949" s="12" t="s">
        <v>158</v>
      </c>
      <c r="J949" s="12" t="s">
        <v>159</v>
      </c>
      <c r="K949" s="12" t="s">
        <v>19</v>
      </c>
      <c r="L949" s="12" t="s">
        <v>87</v>
      </c>
      <c r="M949" s="11" t="s">
        <v>88</v>
      </c>
    </row>
    <row r="950" customFormat="false" ht="28.35" hidden="false" customHeight="false" outlineLevel="0" collapsed="false">
      <c r="A950" s="11" t="s">
        <v>1854</v>
      </c>
      <c r="B950" s="12" t="s">
        <v>58</v>
      </c>
      <c r="C950" s="12" t="s">
        <v>57</v>
      </c>
      <c r="D950" s="12" t="n">
        <v>44</v>
      </c>
      <c r="E950" s="12" t="s">
        <v>1853</v>
      </c>
      <c r="F950" s="12" t="s">
        <v>132</v>
      </c>
      <c r="G950" s="12" t="s">
        <v>1855</v>
      </c>
      <c r="H950" s="12" t="s">
        <v>1778</v>
      </c>
      <c r="I950" s="12" t="s">
        <v>164</v>
      </c>
      <c r="J950" s="12" t="s">
        <v>165</v>
      </c>
      <c r="K950" s="12" t="s">
        <v>16</v>
      </c>
      <c r="L950" s="12" t="s">
        <v>87</v>
      </c>
      <c r="M950" s="11" t="s">
        <v>88</v>
      </c>
    </row>
    <row r="951" customFormat="false" ht="28.35" hidden="false" customHeight="false" outlineLevel="0" collapsed="false">
      <c r="A951" s="11" t="s">
        <v>1856</v>
      </c>
      <c r="B951" s="12" t="s">
        <v>58</v>
      </c>
      <c r="C951" s="12" t="s">
        <v>57</v>
      </c>
      <c r="D951" s="12" t="n">
        <v>45</v>
      </c>
      <c r="E951" s="12" t="s">
        <v>1853</v>
      </c>
      <c r="F951" s="12" t="s">
        <v>132</v>
      </c>
      <c r="G951" s="12" t="s">
        <v>167</v>
      </c>
      <c r="H951" s="12" t="s">
        <v>1778</v>
      </c>
      <c r="I951" s="12" t="s">
        <v>168</v>
      </c>
      <c r="J951" s="12" t="s">
        <v>169</v>
      </c>
      <c r="K951" s="12" t="s">
        <v>31</v>
      </c>
      <c r="L951" s="12" t="s">
        <v>96</v>
      </c>
      <c r="M951" s="11" t="s">
        <v>170</v>
      </c>
    </row>
    <row r="952" customFormat="false" ht="108.95" hidden="false" customHeight="false" outlineLevel="0" collapsed="false">
      <c r="A952" s="11" t="s">
        <v>1857</v>
      </c>
      <c r="B952" s="12" t="s">
        <v>58</v>
      </c>
      <c r="C952" s="12" t="s">
        <v>57</v>
      </c>
      <c r="D952" s="12" t="n">
        <v>46</v>
      </c>
      <c r="E952" s="12" t="s">
        <v>1853</v>
      </c>
      <c r="F952" s="12" t="s">
        <v>98</v>
      </c>
      <c r="G952" s="12" t="s">
        <v>1858</v>
      </c>
      <c r="H952" s="12" t="s">
        <v>1778</v>
      </c>
      <c r="I952" s="12" t="s">
        <v>168</v>
      </c>
      <c r="J952" s="12" t="s">
        <v>169</v>
      </c>
      <c r="K952" s="12" t="s">
        <v>31</v>
      </c>
      <c r="L952" s="12" t="s">
        <v>96</v>
      </c>
      <c r="M952" s="11" t="s">
        <v>170</v>
      </c>
    </row>
    <row r="953" customFormat="false" ht="28.35" hidden="false" customHeight="false" outlineLevel="0" collapsed="false">
      <c r="A953" s="11" t="s">
        <v>1859</v>
      </c>
      <c r="B953" s="12" t="s">
        <v>58</v>
      </c>
      <c r="C953" s="12" t="s">
        <v>57</v>
      </c>
      <c r="D953" s="12" t="n">
        <v>47</v>
      </c>
      <c r="E953" s="12" t="s">
        <v>1853</v>
      </c>
      <c r="F953" s="12" t="s">
        <v>98</v>
      </c>
      <c r="G953" s="12" t="s">
        <v>1860</v>
      </c>
      <c r="H953" s="12" t="s">
        <v>1778</v>
      </c>
      <c r="I953" s="12" t="s">
        <v>175</v>
      </c>
      <c r="J953" s="12" t="s">
        <v>176</v>
      </c>
      <c r="K953" s="12" t="s">
        <v>22</v>
      </c>
      <c r="L953" s="12" t="s">
        <v>96</v>
      </c>
      <c r="M953" s="11" t="s">
        <v>88</v>
      </c>
    </row>
    <row r="954" customFormat="false" ht="28.35" hidden="false" customHeight="false" outlineLevel="0" collapsed="false">
      <c r="A954" s="11" t="s">
        <v>1861</v>
      </c>
      <c r="B954" s="12" t="s">
        <v>58</v>
      </c>
      <c r="C954" s="12" t="s">
        <v>57</v>
      </c>
      <c r="D954" s="12" t="n">
        <v>48</v>
      </c>
      <c r="E954" s="12" t="s">
        <v>1853</v>
      </c>
      <c r="F954" s="12" t="s">
        <v>132</v>
      </c>
      <c r="G954" s="12" t="s">
        <v>1862</v>
      </c>
      <c r="H954" s="12" t="s">
        <v>1778</v>
      </c>
      <c r="I954" s="12" t="s">
        <v>164</v>
      </c>
      <c r="J954" s="12" t="s">
        <v>165</v>
      </c>
      <c r="K954" s="12" t="s">
        <v>16</v>
      </c>
      <c r="L954" s="12" t="s">
        <v>87</v>
      </c>
      <c r="M954" s="11" t="s">
        <v>88</v>
      </c>
    </row>
    <row r="955" customFormat="false" ht="28.35" hidden="false" customHeight="false" outlineLevel="0" collapsed="false">
      <c r="A955" s="11" t="s">
        <v>1863</v>
      </c>
      <c r="B955" s="12" t="s">
        <v>58</v>
      </c>
      <c r="C955" s="12" t="s">
        <v>57</v>
      </c>
      <c r="D955" s="12" t="n">
        <v>49</v>
      </c>
      <c r="E955" s="12" t="s">
        <v>1864</v>
      </c>
      <c r="F955" s="12" t="s">
        <v>82</v>
      </c>
      <c r="G955" s="12" t="s">
        <v>1864</v>
      </c>
      <c r="H955" s="12" t="s">
        <v>1778</v>
      </c>
      <c r="I955" s="12" t="s">
        <v>158</v>
      </c>
      <c r="J955" s="12" t="s">
        <v>159</v>
      </c>
      <c r="K955" s="12" t="s">
        <v>19</v>
      </c>
      <c r="L955" s="12" t="s">
        <v>87</v>
      </c>
      <c r="M955" s="11" t="s">
        <v>88</v>
      </c>
    </row>
    <row r="956" customFormat="false" ht="28.35" hidden="false" customHeight="false" outlineLevel="0" collapsed="false">
      <c r="A956" s="11" t="s">
        <v>1865</v>
      </c>
      <c r="B956" s="12" t="s">
        <v>58</v>
      </c>
      <c r="C956" s="12" t="s">
        <v>57</v>
      </c>
      <c r="D956" s="12" t="n">
        <v>50</v>
      </c>
      <c r="E956" s="12" t="s">
        <v>1864</v>
      </c>
      <c r="F956" s="12" t="s">
        <v>132</v>
      </c>
      <c r="G956" s="12" t="s">
        <v>1866</v>
      </c>
      <c r="H956" s="12" t="s">
        <v>1778</v>
      </c>
      <c r="I956" s="12" t="s">
        <v>164</v>
      </c>
      <c r="J956" s="12" t="s">
        <v>165</v>
      </c>
      <c r="K956" s="12" t="s">
        <v>16</v>
      </c>
      <c r="L956" s="12" t="s">
        <v>87</v>
      </c>
      <c r="M956" s="11" t="s">
        <v>88</v>
      </c>
    </row>
    <row r="957" customFormat="false" ht="41.75" hidden="false" customHeight="false" outlineLevel="0" collapsed="false">
      <c r="A957" s="11" t="s">
        <v>1867</v>
      </c>
      <c r="B957" s="12" t="s">
        <v>58</v>
      </c>
      <c r="C957" s="12" t="s">
        <v>57</v>
      </c>
      <c r="D957" s="12" t="n">
        <v>51</v>
      </c>
      <c r="E957" s="12" t="s">
        <v>1864</v>
      </c>
      <c r="F957" s="12" t="s">
        <v>132</v>
      </c>
      <c r="G957" s="12" t="s">
        <v>1868</v>
      </c>
      <c r="H957" s="12" t="s">
        <v>1778</v>
      </c>
      <c r="I957" s="12" t="s">
        <v>164</v>
      </c>
      <c r="J957" s="12" t="s">
        <v>165</v>
      </c>
      <c r="K957" s="12" t="s">
        <v>16</v>
      </c>
      <c r="L957" s="12" t="s">
        <v>87</v>
      </c>
      <c r="M957" s="11" t="s">
        <v>88</v>
      </c>
    </row>
    <row r="958" customFormat="false" ht="41.75" hidden="false" customHeight="false" outlineLevel="0" collapsed="false">
      <c r="A958" s="11" t="s">
        <v>1869</v>
      </c>
      <c r="B958" s="12" t="s">
        <v>58</v>
      </c>
      <c r="C958" s="12" t="s">
        <v>57</v>
      </c>
      <c r="D958" s="12" t="n">
        <v>52</v>
      </c>
      <c r="E958" s="12" t="s">
        <v>1864</v>
      </c>
      <c r="F958" s="12" t="s">
        <v>132</v>
      </c>
      <c r="G958" s="12" t="s">
        <v>1870</v>
      </c>
      <c r="H958" s="12" t="s">
        <v>1778</v>
      </c>
      <c r="I958" s="12" t="s">
        <v>164</v>
      </c>
      <c r="J958" s="12" t="s">
        <v>165</v>
      </c>
      <c r="K958" s="12" t="s">
        <v>16</v>
      </c>
      <c r="L958" s="12" t="s">
        <v>87</v>
      </c>
      <c r="M958" s="11" t="s">
        <v>88</v>
      </c>
    </row>
    <row r="959" customFormat="false" ht="28.35" hidden="false" customHeight="false" outlineLevel="0" collapsed="false">
      <c r="A959" s="11" t="s">
        <v>1871</v>
      </c>
      <c r="B959" s="12" t="s">
        <v>58</v>
      </c>
      <c r="C959" s="12" t="s">
        <v>57</v>
      </c>
      <c r="D959" s="12" t="n">
        <v>53</v>
      </c>
      <c r="E959" s="12" t="s">
        <v>1864</v>
      </c>
      <c r="F959" s="12" t="s">
        <v>132</v>
      </c>
      <c r="G959" s="12" t="s">
        <v>1872</v>
      </c>
      <c r="H959" s="12" t="s">
        <v>1778</v>
      </c>
      <c r="I959" s="12" t="s">
        <v>164</v>
      </c>
      <c r="J959" s="12" t="s">
        <v>165</v>
      </c>
      <c r="K959" s="12" t="s">
        <v>16</v>
      </c>
      <c r="L959" s="12" t="s">
        <v>87</v>
      </c>
      <c r="M959" s="11" t="s">
        <v>88</v>
      </c>
    </row>
    <row r="960" customFormat="false" ht="28.35" hidden="false" customHeight="false" outlineLevel="0" collapsed="false">
      <c r="A960" s="11" t="s">
        <v>1873</v>
      </c>
      <c r="B960" s="12" t="s">
        <v>58</v>
      </c>
      <c r="C960" s="12" t="s">
        <v>57</v>
      </c>
      <c r="D960" s="12" t="n">
        <v>54</v>
      </c>
      <c r="E960" s="12" t="s">
        <v>1864</v>
      </c>
      <c r="F960" s="12" t="s">
        <v>132</v>
      </c>
      <c r="G960" s="12" t="s">
        <v>1874</v>
      </c>
      <c r="H960" s="12" t="s">
        <v>1778</v>
      </c>
      <c r="I960" s="12" t="s">
        <v>164</v>
      </c>
      <c r="J960" s="12" t="s">
        <v>165</v>
      </c>
      <c r="K960" s="12" t="s">
        <v>16</v>
      </c>
      <c r="L960" s="12" t="s">
        <v>87</v>
      </c>
      <c r="M960" s="11" t="s">
        <v>88</v>
      </c>
    </row>
    <row r="961" customFormat="false" ht="28.35" hidden="false" customHeight="false" outlineLevel="0" collapsed="false">
      <c r="A961" s="11" t="s">
        <v>1875</v>
      </c>
      <c r="B961" s="12" t="s">
        <v>58</v>
      </c>
      <c r="C961" s="12" t="s">
        <v>57</v>
      </c>
      <c r="D961" s="12" t="n">
        <v>55</v>
      </c>
      <c r="E961" s="12" t="s">
        <v>1876</v>
      </c>
      <c r="F961" s="12" t="s">
        <v>82</v>
      </c>
      <c r="G961" s="12" t="s">
        <v>1876</v>
      </c>
      <c r="H961" s="12" t="s">
        <v>1778</v>
      </c>
      <c r="I961" s="12" t="s">
        <v>158</v>
      </c>
      <c r="J961" s="12" t="s">
        <v>159</v>
      </c>
      <c r="K961" s="12" t="s">
        <v>19</v>
      </c>
      <c r="L961" s="12" t="s">
        <v>87</v>
      </c>
      <c r="M961" s="11" t="s">
        <v>88</v>
      </c>
    </row>
    <row r="962" customFormat="false" ht="28.35" hidden="false" customHeight="false" outlineLevel="0" collapsed="false">
      <c r="A962" s="11" t="s">
        <v>1877</v>
      </c>
      <c r="B962" s="12" t="s">
        <v>58</v>
      </c>
      <c r="C962" s="12" t="s">
        <v>57</v>
      </c>
      <c r="D962" s="12" t="n">
        <v>56</v>
      </c>
      <c r="E962" s="12" t="s">
        <v>1876</v>
      </c>
      <c r="F962" s="12" t="s">
        <v>132</v>
      </c>
      <c r="G962" s="12" t="s">
        <v>1878</v>
      </c>
      <c r="H962" s="12" t="s">
        <v>1778</v>
      </c>
      <c r="I962" s="12" t="s">
        <v>354</v>
      </c>
      <c r="J962" s="12" t="s">
        <v>355</v>
      </c>
      <c r="K962" s="12" t="s">
        <v>25</v>
      </c>
      <c r="L962" s="12" t="s">
        <v>96</v>
      </c>
      <c r="M962" s="11" t="s">
        <v>170</v>
      </c>
    </row>
    <row r="963" customFormat="false" ht="28.35" hidden="false" customHeight="false" outlineLevel="0" collapsed="false">
      <c r="A963" s="11" t="s">
        <v>1879</v>
      </c>
      <c r="B963" s="12" t="s">
        <v>58</v>
      </c>
      <c r="C963" s="12" t="s">
        <v>57</v>
      </c>
      <c r="D963" s="12" t="n">
        <v>57</v>
      </c>
      <c r="E963" s="12" t="s">
        <v>1876</v>
      </c>
      <c r="F963" s="12" t="s">
        <v>132</v>
      </c>
      <c r="G963" s="12" t="s">
        <v>1880</v>
      </c>
      <c r="H963" s="12" t="s">
        <v>1778</v>
      </c>
      <c r="I963" s="12" t="s">
        <v>164</v>
      </c>
      <c r="J963" s="12" t="s">
        <v>165</v>
      </c>
      <c r="K963" s="12" t="s">
        <v>16</v>
      </c>
      <c r="L963" s="12" t="s">
        <v>87</v>
      </c>
      <c r="M963" s="11" t="s">
        <v>88</v>
      </c>
    </row>
    <row r="964" customFormat="false" ht="28.35" hidden="false" customHeight="false" outlineLevel="0" collapsed="false">
      <c r="A964" s="11" t="s">
        <v>1881</v>
      </c>
      <c r="B964" s="12" t="s">
        <v>58</v>
      </c>
      <c r="C964" s="12" t="s">
        <v>57</v>
      </c>
      <c r="D964" s="12" t="n">
        <v>58</v>
      </c>
      <c r="E964" s="12" t="s">
        <v>1876</v>
      </c>
      <c r="F964" s="12" t="s">
        <v>132</v>
      </c>
      <c r="G964" s="12" t="s">
        <v>1882</v>
      </c>
      <c r="H964" s="12" t="s">
        <v>1778</v>
      </c>
      <c r="I964" s="12" t="s">
        <v>164</v>
      </c>
      <c r="J964" s="12" t="s">
        <v>165</v>
      </c>
      <c r="K964" s="12" t="s">
        <v>16</v>
      </c>
      <c r="L964" s="12" t="s">
        <v>87</v>
      </c>
      <c r="M964" s="11" t="s">
        <v>88</v>
      </c>
    </row>
    <row r="965" customFormat="false" ht="28.35" hidden="false" customHeight="false" outlineLevel="0" collapsed="false">
      <c r="A965" s="11" t="s">
        <v>1883</v>
      </c>
      <c r="B965" s="12" t="s">
        <v>58</v>
      </c>
      <c r="C965" s="12" t="s">
        <v>57</v>
      </c>
      <c r="D965" s="12" t="n">
        <v>59</v>
      </c>
      <c r="E965" s="12" t="s">
        <v>1876</v>
      </c>
      <c r="F965" s="12" t="s">
        <v>132</v>
      </c>
      <c r="G965" s="12" t="s">
        <v>1884</v>
      </c>
      <c r="H965" s="12" t="s">
        <v>1778</v>
      </c>
      <c r="I965" s="12" t="s">
        <v>164</v>
      </c>
      <c r="J965" s="12" t="s">
        <v>165</v>
      </c>
      <c r="K965" s="12" t="s">
        <v>16</v>
      </c>
      <c r="L965" s="12" t="s">
        <v>87</v>
      </c>
      <c r="M965" s="11" t="s">
        <v>88</v>
      </c>
    </row>
    <row r="966" customFormat="false" ht="28.35" hidden="false" customHeight="false" outlineLevel="0" collapsed="false">
      <c r="A966" s="11" t="s">
        <v>1885</v>
      </c>
      <c r="B966" s="12" t="s">
        <v>58</v>
      </c>
      <c r="C966" s="12" t="s">
        <v>57</v>
      </c>
      <c r="D966" s="12" t="n">
        <v>60</v>
      </c>
      <c r="E966" s="12" t="s">
        <v>1876</v>
      </c>
      <c r="F966" s="12" t="s">
        <v>132</v>
      </c>
      <c r="G966" s="12" t="s">
        <v>1886</v>
      </c>
      <c r="H966" s="12" t="s">
        <v>1778</v>
      </c>
      <c r="I966" s="12" t="s">
        <v>164</v>
      </c>
      <c r="J966" s="12" t="s">
        <v>165</v>
      </c>
      <c r="K966" s="12" t="s">
        <v>16</v>
      </c>
      <c r="L966" s="12" t="s">
        <v>87</v>
      </c>
      <c r="M966" s="11" t="s">
        <v>88</v>
      </c>
    </row>
    <row r="967" customFormat="false" ht="28.35" hidden="false" customHeight="false" outlineLevel="0" collapsed="false">
      <c r="A967" s="11" t="s">
        <v>1887</v>
      </c>
      <c r="B967" s="12" t="s">
        <v>58</v>
      </c>
      <c r="C967" s="12" t="s">
        <v>57</v>
      </c>
      <c r="D967" s="12" t="n">
        <v>61</v>
      </c>
      <c r="E967" s="12" t="s">
        <v>1876</v>
      </c>
      <c r="F967" s="12" t="s">
        <v>98</v>
      </c>
      <c r="G967" s="12" t="s">
        <v>459</v>
      </c>
      <c r="H967" s="12" t="s">
        <v>1778</v>
      </c>
      <c r="I967" s="12" t="s">
        <v>175</v>
      </c>
      <c r="J967" s="12" t="s">
        <v>176</v>
      </c>
      <c r="K967" s="12" t="s">
        <v>22</v>
      </c>
      <c r="L967" s="12" t="s">
        <v>96</v>
      </c>
      <c r="M967" s="11" t="s">
        <v>88</v>
      </c>
    </row>
    <row r="968" customFormat="false" ht="28.35" hidden="false" customHeight="false" outlineLevel="0" collapsed="false">
      <c r="A968" s="11" t="s">
        <v>1888</v>
      </c>
      <c r="B968" s="12" t="s">
        <v>58</v>
      </c>
      <c r="C968" s="12" t="s">
        <v>57</v>
      </c>
      <c r="D968" s="12" t="n">
        <v>62</v>
      </c>
      <c r="E968" s="12" t="s">
        <v>1876</v>
      </c>
      <c r="F968" s="12" t="s">
        <v>98</v>
      </c>
      <c r="G968" s="12" t="s">
        <v>1889</v>
      </c>
      <c r="H968" s="12" t="s">
        <v>1778</v>
      </c>
      <c r="I968" s="12" t="s">
        <v>175</v>
      </c>
      <c r="J968" s="12" t="s">
        <v>176</v>
      </c>
      <c r="K968" s="12" t="s">
        <v>22</v>
      </c>
      <c r="L968" s="12" t="s">
        <v>96</v>
      </c>
      <c r="M968" s="11" t="s">
        <v>88</v>
      </c>
    </row>
    <row r="969" customFormat="false" ht="28.35" hidden="false" customHeight="false" outlineLevel="0" collapsed="false">
      <c r="A969" s="11" t="s">
        <v>1890</v>
      </c>
      <c r="B969" s="12" t="s">
        <v>58</v>
      </c>
      <c r="C969" s="12" t="s">
        <v>57</v>
      </c>
      <c r="D969" s="12" t="n">
        <v>63</v>
      </c>
      <c r="E969" s="12" t="s">
        <v>1876</v>
      </c>
      <c r="F969" s="12" t="s">
        <v>98</v>
      </c>
      <c r="G969" s="12" t="s">
        <v>1891</v>
      </c>
      <c r="H969" s="12" t="s">
        <v>1778</v>
      </c>
      <c r="I969" s="12" t="s">
        <v>175</v>
      </c>
      <c r="J969" s="12" t="s">
        <v>176</v>
      </c>
      <c r="K969" s="12" t="s">
        <v>22</v>
      </c>
      <c r="L969" s="12" t="s">
        <v>96</v>
      </c>
      <c r="M969" s="11" t="s">
        <v>88</v>
      </c>
    </row>
    <row r="970" customFormat="false" ht="28.35" hidden="false" customHeight="false" outlineLevel="0" collapsed="false">
      <c r="A970" s="11" t="s">
        <v>1892</v>
      </c>
      <c r="B970" s="12" t="s">
        <v>58</v>
      </c>
      <c r="C970" s="12" t="s">
        <v>57</v>
      </c>
      <c r="D970" s="12" t="n">
        <v>64</v>
      </c>
      <c r="E970" s="12" t="s">
        <v>1876</v>
      </c>
      <c r="F970" s="12" t="s">
        <v>98</v>
      </c>
      <c r="G970" s="12" t="s">
        <v>1893</v>
      </c>
      <c r="H970" s="12" t="s">
        <v>1778</v>
      </c>
      <c r="I970" s="12" t="s">
        <v>175</v>
      </c>
      <c r="J970" s="12" t="s">
        <v>176</v>
      </c>
      <c r="K970" s="12" t="s">
        <v>22</v>
      </c>
      <c r="L970" s="12" t="s">
        <v>96</v>
      </c>
      <c r="M970" s="11" t="s">
        <v>88</v>
      </c>
    </row>
    <row r="971" customFormat="false" ht="28.35" hidden="false" customHeight="false" outlineLevel="0" collapsed="false">
      <c r="A971" s="11" t="s">
        <v>1894</v>
      </c>
      <c r="B971" s="12" t="s">
        <v>58</v>
      </c>
      <c r="C971" s="12" t="s">
        <v>57</v>
      </c>
      <c r="D971" s="12" t="n">
        <v>65</v>
      </c>
      <c r="E971" s="12" t="s">
        <v>1895</v>
      </c>
      <c r="F971" s="12" t="s">
        <v>82</v>
      </c>
      <c r="G971" s="12" t="s">
        <v>1895</v>
      </c>
      <c r="H971" s="12" t="s">
        <v>1778</v>
      </c>
      <c r="I971" s="12" t="s">
        <v>84</v>
      </c>
      <c r="J971" s="12" t="s">
        <v>85</v>
      </c>
      <c r="K971" s="12" t="s">
        <v>86</v>
      </c>
      <c r="L971" s="12" t="s">
        <v>87</v>
      </c>
      <c r="M971" s="11" t="s">
        <v>88</v>
      </c>
    </row>
    <row r="972" customFormat="false" ht="28.35" hidden="false" customHeight="false" outlineLevel="0" collapsed="false">
      <c r="A972" s="11" t="s">
        <v>1896</v>
      </c>
      <c r="B972" s="12" t="s">
        <v>58</v>
      </c>
      <c r="C972" s="12" t="s">
        <v>57</v>
      </c>
      <c r="D972" s="12" t="n">
        <v>66</v>
      </c>
      <c r="E972" s="12" t="s">
        <v>1895</v>
      </c>
      <c r="F972" s="12" t="s">
        <v>132</v>
      </c>
      <c r="G972" s="12" t="s">
        <v>1897</v>
      </c>
      <c r="H972" s="12" t="s">
        <v>1778</v>
      </c>
      <c r="I972" s="12" t="s">
        <v>84</v>
      </c>
      <c r="J972" s="12" t="s">
        <v>85</v>
      </c>
      <c r="K972" s="12" t="s">
        <v>86</v>
      </c>
      <c r="L972" s="12" t="s">
        <v>87</v>
      </c>
      <c r="M972" s="11" t="s">
        <v>88</v>
      </c>
    </row>
    <row r="973" customFormat="false" ht="28.35" hidden="false" customHeight="false" outlineLevel="0" collapsed="false">
      <c r="A973" s="11" t="s">
        <v>1898</v>
      </c>
      <c r="B973" s="12" t="s">
        <v>58</v>
      </c>
      <c r="C973" s="12" t="s">
        <v>57</v>
      </c>
      <c r="D973" s="12" t="n">
        <v>67</v>
      </c>
      <c r="E973" s="12" t="s">
        <v>1895</v>
      </c>
      <c r="F973" s="12" t="s">
        <v>132</v>
      </c>
      <c r="G973" s="12" t="s">
        <v>1899</v>
      </c>
      <c r="H973" s="12" t="s">
        <v>1778</v>
      </c>
      <c r="I973" s="12" t="s">
        <v>84</v>
      </c>
      <c r="J973" s="12" t="s">
        <v>85</v>
      </c>
      <c r="K973" s="12" t="s">
        <v>86</v>
      </c>
      <c r="L973" s="12" t="s">
        <v>87</v>
      </c>
      <c r="M973" s="11" t="s">
        <v>88</v>
      </c>
    </row>
    <row r="974" customFormat="false" ht="41.75" hidden="false" customHeight="false" outlineLevel="0" collapsed="false">
      <c r="A974" s="11" t="s">
        <v>1900</v>
      </c>
      <c r="B974" s="12" t="s">
        <v>58</v>
      </c>
      <c r="C974" s="12" t="s">
        <v>57</v>
      </c>
      <c r="D974" s="12" t="n">
        <v>68</v>
      </c>
      <c r="E974" s="12" t="s">
        <v>1895</v>
      </c>
      <c r="F974" s="12" t="s">
        <v>132</v>
      </c>
      <c r="G974" s="12" t="s">
        <v>1901</v>
      </c>
      <c r="H974" s="12" t="s">
        <v>1778</v>
      </c>
      <c r="I974" s="12" t="s">
        <v>84</v>
      </c>
      <c r="J974" s="12" t="s">
        <v>85</v>
      </c>
      <c r="K974" s="12" t="s">
        <v>86</v>
      </c>
      <c r="L974" s="12" t="s">
        <v>87</v>
      </c>
      <c r="M974" s="11" t="s">
        <v>88</v>
      </c>
    </row>
    <row r="975" customFormat="false" ht="28.35" hidden="false" customHeight="false" outlineLevel="0" collapsed="false">
      <c r="A975" s="11" t="s">
        <v>1902</v>
      </c>
      <c r="B975" s="12" t="s">
        <v>58</v>
      </c>
      <c r="C975" s="12" t="s">
        <v>57</v>
      </c>
      <c r="D975" s="12" t="n">
        <v>69</v>
      </c>
      <c r="E975" s="12" t="s">
        <v>1895</v>
      </c>
      <c r="F975" s="12" t="s">
        <v>132</v>
      </c>
      <c r="G975" s="12" t="s">
        <v>1903</v>
      </c>
      <c r="H975" s="12" t="s">
        <v>1778</v>
      </c>
      <c r="I975" s="12" t="s">
        <v>84</v>
      </c>
      <c r="J975" s="12" t="s">
        <v>85</v>
      </c>
      <c r="K975" s="12" t="s">
        <v>86</v>
      </c>
      <c r="L975" s="12" t="s">
        <v>87</v>
      </c>
      <c r="M975" s="11" t="s">
        <v>88</v>
      </c>
    </row>
    <row r="976" customFormat="false" ht="28.35" hidden="false" customHeight="false" outlineLevel="0" collapsed="false">
      <c r="A976" s="11" t="s">
        <v>1904</v>
      </c>
      <c r="B976" s="12" t="s">
        <v>58</v>
      </c>
      <c r="C976" s="12" t="s">
        <v>57</v>
      </c>
      <c r="D976" s="12" t="n">
        <v>70</v>
      </c>
      <c r="E976" s="12" t="s">
        <v>1895</v>
      </c>
      <c r="F976" s="12" t="s">
        <v>132</v>
      </c>
      <c r="G976" s="12" t="s">
        <v>1905</v>
      </c>
      <c r="H976" s="12" t="s">
        <v>1778</v>
      </c>
      <c r="I976" s="12" t="s">
        <v>84</v>
      </c>
      <c r="J976" s="12" t="s">
        <v>85</v>
      </c>
      <c r="K976" s="12" t="s">
        <v>86</v>
      </c>
      <c r="L976" s="12" t="s">
        <v>87</v>
      </c>
      <c r="M976" s="11" t="s">
        <v>88</v>
      </c>
    </row>
    <row r="977" customFormat="false" ht="28.35" hidden="false" customHeight="false" outlineLevel="0" collapsed="false">
      <c r="A977" s="11" t="s">
        <v>1906</v>
      </c>
      <c r="B977" s="12" t="s">
        <v>58</v>
      </c>
      <c r="C977" s="12" t="s">
        <v>57</v>
      </c>
      <c r="D977" s="12" t="n">
        <v>71</v>
      </c>
      <c r="E977" s="12" t="s">
        <v>1895</v>
      </c>
      <c r="F977" s="12" t="s">
        <v>132</v>
      </c>
      <c r="G977" s="12" t="s">
        <v>236</v>
      </c>
      <c r="H977" s="12" t="s">
        <v>1778</v>
      </c>
      <c r="I977" s="12" t="s">
        <v>84</v>
      </c>
      <c r="J977" s="12" t="s">
        <v>85</v>
      </c>
      <c r="K977" s="12" t="s">
        <v>86</v>
      </c>
      <c r="L977" s="12" t="s">
        <v>87</v>
      </c>
      <c r="M977" s="11" t="s">
        <v>88</v>
      </c>
    </row>
    <row r="978" customFormat="false" ht="28.35" hidden="false" customHeight="false" outlineLevel="0" collapsed="false">
      <c r="A978" s="11" t="s">
        <v>1907</v>
      </c>
      <c r="B978" s="12" t="s">
        <v>58</v>
      </c>
      <c r="C978" s="12" t="s">
        <v>57</v>
      </c>
      <c r="D978" s="12" t="n">
        <v>72</v>
      </c>
      <c r="E978" s="12" t="s">
        <v>1908</v>
      </c>
      <c r="F978" s="12" t="s">
        <v>82</v>
      </c>
      <c r="G978" s="12" t="s">
        <v>1908</v>
      </c>
      <c r="H978" s="12" t="s">
        <v>1778</v>
      </c>
      <c r="I978" s="12" t="s">
        <v>158</v>
      </c>
      <c r="J978" s="12" t="s">
        <v>159</v>
      </c>
      <c r="K978" s="12" t="s">
        <v>19</v>
      </c>
      <c r="L978" s="12" t="s">
        <v>87</v>
      </c>
      <c r="M978" s="11" t="s">
        <v>88</v>
      </c>
    </row>
    <row r="979" customFormat="false" ht="28.35" hidden="false" customHeight="false" outlineLevel="0" collapsed="false">
      <c r="A979" s="11" t="s">
        <v>1909</v>
      </c>
      <c r="B979" s="12" t="s">
        <v>58</v>
      </c>
      <c r="C979" s="12" t="s">
        <v>57</v>
      </c>
      <c r="D979" s="12" t="n">
        <v>73</v>
      </c>
      <c r="E979" s="12" t="s">
        <v>1908</v>
      </c>
      <c r="F979" s="12" t="s">
        <v>132</v>
      </c>
      <c r="G979" s="12" t="s">
        <v>1910</v>
      </c>
      <c r="H979" s="12" t="s">
        <v>1778</v>
      </c>
      <c r="I979" s="12" t="s">
        <v>164</v>
      </c>
      <c r="J979" s="12" t="s">
        <v>165</v>
      </c>
      <c r="K979" s="12" t="s">
        <v>16</v>
      </c>
      <c r="L979" s="12" t="s">
        <v>87</v>
      </c>
      <c r="M979" s="11" t="s">
        <v>88</v>
      </c>
    </row>
    <row r="980" customFormat="false" ht="41.75" hidden="false" customHeight="false" outlineLevel="0" collapsed="false">
      <c r="A980" s="11" t="s">
        <v>1911</v>
      </c>
      <c r="B980" s="12" t="s">
        <v>58</v>
      </c>
      <c r="C980" s="12" t="s">
        <v>57</v>
      </c>
      <c r="D980" s="12" t="n">
        <v>74</v>
      </c>
      <c r="E980" s="12" t="s">
        <v>1908</v>
      </c>
      <c r="F980" s="12" t="s">
        <v>132</v>
      </c>
      <c r="G980" s="12" t="s">
        <v>1912</v>
      </c>
      <c r="H980" s="12" t="s">
        <v>1778</v>
      </c>
      <c r="I980" s="12" t="s">
        <v>164</v>
      </c>
      <c r="J980" s="12" t="s">
        <v>165</v>
      </c>
      <c r="K980" s="12" t="s">
        <v>16</v>
      </c>
      <c r="L980" s="12" t="s">
        <v>87</v>
      </c>
      <c r="M980" s="11" t="s">
        <v>88</v>
      </c>
    </row>
    <row r="981" customFormat="false" ht="28.35" hidden="false" customHeight="false" outlineLevel="0" collapsed="false">
      <c r="A981" s="11" t="s">
        <v>1913</v>
      </c>
      <c r="B981" s="12" t="s">
        <v>58</v>
      </c>
      <c r="C981" s="12" t="s">
        <v>57</v>
      </c>
      <c r="D981" s="12" t="n">
        <v>75</v>
      </c>
      <c r="E981" s="12" t="s">
        <v>1908</v>
      </c>
      <c r="F981" s="12" t="s">
        <v>132</v>
      </c>
      <c r="G981" s="12" t="s">
        <v>1914</v>
      </c>
      <c r="H981" s="12" t="s">
        <v>1778</v>
      </c>
      <c r="I981" s="12" t="s">
        <v>164</v>
      </c>
      <c r="J981" s="12" t="s">
        <v>165</v>
      </c>
      <c r="K981" s="12" t="s">
        <v>16</v>
      </c>
      <c r="L981" s="12" t="s">
        <v>87</v>
      </c>
      <c r="M981" s="11" t="s">
        <v>88</v>
      </c>
    </row>
    <row r="982" customFormat="false" ht="28.35" hidden="false" customHeight="false" outlineLevel="0" collapsed="false">
      <c r="A982" s="11" t="s">
        <v>1915</v>
      </c>
      <c r="B982" s="12" t="s">
        <v>60</v>
      </c>
      <c r="C982" s="12" t="s">
        <v>59</v>
      </c>
      <c r="D982" s="12" t="n">
        <v>1</v>
      </c>
      <c r="E982" s="12"/>
      <c r="F982" s="12" t="s">
        <v>98</v>
      </c>
      <c r="G982" s="12" t="s">
        <v>1916</v>
      </c>
      <c r="H982" s="12" t="s">
        <v>942</v>
      </c>
      <c r="I982" s="12" t="s">
        <v>175</v>
      </c>
      <c r="J982" s="12" t="s">
        <v>176</v>
      </c>
      <c r="K982" s="12" t="s">
        <v>22</v>
      </c>
      <c r="L982" s="12" t="s">
        <v>96</v>
      </c>
      <c r="M982" s="11" t="s">
        <v>88</v>
      </c>
    </row>
    <row r="983" customFormat="false" ht="28.35" hidden="false" customHeight="false" outlineLevel="0" collapsed="false">
      <c r="A983" s="11" t="s">
        <v>1917</v>
      </c>
      <c r="B983" s="12" t="s">
        <v>60</v>
      </c>
      <c r="C983" s="12" t="s">
        <v>59</v>
      </c>
      <c r="D983" s="12" t="n">
        <v>2</v>
      </c>
      <c r="E983" s="12"/>
      <c r="F983" s="12" t="s">
        <v>132</v>
      </c>
      <c r="G983" s="12" t="s">
        <v>1918</v>
      </c>
      <c r="H983" s="12" t="s">
        <v>942</v>
      </c>
      <c r="I983" s="12" t="s">
        <v>168</v>
      </c>
      <c r="J983" s="12" t="s">
        <v>169</v>
      </c>
      <c r="K983" s="12" t="s">
        <v>31</v>
      </c>
      <c r="L983" s="12" t="s">
        <v>96</v>
      </c>
      <c r="M983" s="11" t="s">
        <v>170</v>
      </c>
    </row>
    <row r="984" customFormat="false" ht="28.35" hidden="false" customHeight="false" outlineLevel="0" collapsed="false">
      <c r="A984" s="11" t="s">
        <v>1919</v>
      </c>
      <c r="B984" s="12" t="s">
        <v>60</v>
      </c>
      <c r="C984" s="12" t="s">
        <v>59</v>
      </c>
      <c r="D984" s="12" t="n">
        <v>3</v>
      </c>
      <c r="E984" s="12"/>
      <c r="F984" s="12" t="s">
        <v>132</v>
      </c>
      <c r="G984" s="12" t="s">
        <v>1920</v>
      </c>
      <c r="H984" s="12" t="s">
        <v>942</v>
      </c>
      <c r="I984" s="12" t="s">
        <v>164</v>
      </c>
      <c r="J984" s="12" t="s">
        <v>165</v>
      </c>
      <c r="K984" s="12" t="s">
        <v>16</v>
      </c>
      <c r="L984" s="12" t="s">
        <v>87</v>
      </c>
      <c r="M984" s="11" t="s">
        <v>88</v>
      </c>
    </row>
    <row r="985" customFormat="false" ht="28.35" hidden="false" customHeight="false" outlineLevel="0" collapsed="false">
      <c r="A985" s="11" t="s">
        <v>1921</v>
      </c>
      <c r="B985" s="12" t="s">
        <v>60</v>
      </c>
      <c r="C985" s="12" t="s">
        <v>59</v>
      </c>
      <c r="D985" s="12" t="n">
        <v>4</v>
      </c>
      <c r="E985" s="12" t="s">
        <v>1922</v>
      </c>
      <c r="F985" s="12" t="s">
        <v>82</v>
      </c>
      <c r="G985" s="12" t="s">
        <v>1922</v>
      </c>
      <c r="H985" s="12" t="s">
        <v>942</v>
      </c>
      <c r="I985" s="12" t="s">
        <v>354</v>
      </c>
      <c r="J985" s="12" t="s">
        <v>355</v>
      </c>
      <c r="K985" s="12" t="s">
        <v>25</v>
      </c>
      <c r="L985" s="12" t="s">
        <v>96</v>
      </c>
      <c r="M985" s="11" t="s">
        <v>170</v>
      </c>
    </row>
    <row r="986" customFormat="false" ht="28.35" hidden="false" customHeight="false" outlineLevel="0" collapsed="false">
      <c r="A986" s="11" t="s">
        <v>1923</v>
      </c>
      <c r="B986" s="12" t="s">
        <v>60</v>
      </c>
      <c r="C986" s="12" t="s">
        <v>59</v>
      </c>
      <c r="D986" s="12" t="n">
        <v>5</v>
      </c>
      <c r="E986" s="12" t="s">
        <v>1922</v>
      </c>
      <c r="F986" s="12" t="s">
        <v>98</v>
      </c>
      <c r="G986" s="12" t="s">
        <v>1924</v>
      </c>
      <c r="H986" s="12" t="s">
        <v>942</v>
      </c>
      <c r="I986" s="12" t="s">
        <v>354</v>
      </c>
      <c r="J986" s="12" t="s">
        <v>355</v>
      </c>
      <c r="K986" s="12" t="s">
        <v>25</v>
      </c>
      <c r="L986" s="12" t="s">
        <v>96</v>
      </c>
      <c r="M986" s="11" t="s">
        <v>170</v>
      </c>
    </row>
    <row r="987" customFormat="false" ht="28.35" hidden="false" customHeight="false" outlineLevel="0" collapsed="false">
      <c r="A987" s="11" t="s">
        <v>1925</v>
      </c>
      <c r="B987" s="12" t="s">
        <v>60</v>
      </c>
      <c r="C987" s="12" t="s">
        <v>59</v>
      </c>
      <c r="D987" s="12" t="n">
        <v>6</v>
      </c>
      <c r="E987" s="12" t="s">
        <v>1922</v>
      </c>
      <c r="F987" s="12" t="s">
        <v>98</v>
      </c>
      <c r="G987" s="12" t="s">
        <v>1926</v>
      </c>
      <c r="H987" s="12" t="s">
        <v>942</v>
      </c>
      <c r="I987" s="12" t="s">
        <v>354</v>
      </c>
      <c r="J987" s="12" t="s">
        <v>355</v>
      </c>
      <c r="K987" s="12" t="s">
        <v>25</v>
      </c>
      <c r="L987" s="12" t="s">
        <v>96</v>
      </c>
      <c r="M987" s="11" t="s">
        <v>170</v>
      </c>
    </row>
    <row r="988" customFormat="false" ht="28.35" hidden="false" customHeight="false" outlineLevel="0" collapsed="false">
      <c r="A988" s="11" t="s">
        <v>1927</v>
      </c>
      <c r="B988" s="12" t="s">
        <v>60</v>
      </c>
      <c r="C988" s="12" t="s">
        <v>59</v>
      </c>
      <c r="D988" s="12" t="n">
        <v>7</v>
      </c>
      <c r="E988" s="12" t="s">
        <v>1922</v>
      </c>
      <c r="F988" s="12" t="s">
        <v>98</v>
      </c>
      <c r="G988" s="12" t="s">
        <v>1928</v>
      </c>
      <c r="H988" s="12" t="s">
        <v>942</v>
      </c>
      <c r="I988" s="12" t="s">
        <v>354</v>
      </c>
      <c r="J988" s="12" t="s">
        <v>355</v>
      </c>
      <c r="K988" s="12" t="s">
        <v>25</v>
      </c>
      <c r="L988" s="12" t="s">
        <v>96</v>
      </c>
      <c r="M988" s="11" t="s">
        <v>170</v>
      </c>
    </row>
    <row r="989" customFormat="false" ht="28.35" hidden="false" customHeight="false" outlineLevel="0" collapsed="false">
      <c r="A989" s="11" t="s">
        <v>1929</v>
      </c>
      <c r="B989" s="12" t="s">
        <v>60</v>
      </c>
      <c r="C989" s="12" t="s">
        <v>59</v>
      </c>
      <c r="D989" s="12" t="n">
        <v>8</v>
      </c>
      <c r="E989" s="12" t="s">
        <v>1922</v>
      </c>
      <c r="F989" s="12" t="s">
        <v>98</v>
      </c>
      <c r="G989" s="12" t="s">
        <v>1930</v>
      </c>
      <c r="H989" s="12" t="s">
        <v>942</v>
      </c>
      <c r="I989" s="12" t="s">
        <v>354</v>
      </c>
      <c r="J989" s="12" t="s">
        <v>355</v>
      </c>
      <c r="K989" s="12" t="s">
        <v>25</v>
      </c>
      <c r="L989" s="12" t="s">
        <v>96</v>
      </c>
      <c r="M989" s="11" t="s">
        <v>170</v>
      </c>
    </row>
    <row r="990" customFormat="false" ht="28.35" hidden="false" customHeight="false" outlineLevel="0" collapsed="false">
      <c r="A990" s="11" t="s">
        <v>1931</v>
      </c>
      <c r="B990" s="12" t="s">
        <v>60</v>
      </c>
      <c r="C990" s="12" t="s">
        <v>59</v>
      </c>
      <c r="D990" s="12" t="n">
        <v>9</v>
      </c>
      <c r="E990" s="12" t="s">
        <v>1922</v>
      </c>
      <c r="F990" s="12" t="s">
        <v>98</v>
      </c>
      <c r="G990" s="12" t="s">
        <v>1932</v>
      </c>
      <c r="H990" s="12" t="s">
        <v>942</v>
      </c>
      <c r="I990" s="12" t="s">
        <v>354</v>
      </c>
      <c r="J990" s="12" t="s">
        <v>355</v>
      </c>
      <c r="K990" s="12" t="s">
        <v>25</v>
      </c>
      <c r="L990" s="12" t="s">
        <v>96</v>
      </c>
      <c r="M990" s="11" t="s">
        <v>170</v>
      </c>
    </row>
    <row r="991" customFormat="false" ht="28.35" hidden="false" customHeight="false" outlineLevel="0" collapsed="false">
      <c r="A991" s="11" t="s">
        <v>1933</v>
      </c>
      <c r="B991" s="12" t="s">
        <v>60</v>
      </c>
      <c r="C991" s="12" t="s">
        <v>59</v>
      </c>
      <c r="D991" s="12" t="n">
        <v>10</v>
      </c>
      <c r="E991" s="12" t="s">
        <v>1934</v>
      </c>
      <c r="F991" s="12" t="s">
        <v>82</v>
      </c>
      <c r="G991" s="12" t="s">
        <v>1934</v>
      </c>
      <c r="H991" s="12" t="s">
        <v>731</v>
      </c>
      <c r="I991" s="12" t="s">
        <v>158</v>
      </c>
      <c r="J991" s="12" t="s">
        <v>159</v>
      </c>
      <c r="K991" s="12" t="s">
        <v>19</v>
      </c>
      <c r="L991" s="12" t="s">
        <v>87</v>
      </c>
      <c r="M991" s="11" t="s">
        <v>88</v>
      </c>
    </row>
    <row r="992" customFormat="false" ht="28.35" hidden="false" customHeight="false" outlineLevel="0" collapsed="false">
      <c r="A992" s="11" t="s">
        <v>1935</v>
      </c>
      <c r="B992" s="12" t="s">
        <v>60</v>
      </c>
      <c r="C992" s="12" t="s">
        <v>59</v>
      </c>
      <c r="D992" s="12" t="n">
        <v>11</v>
      </c>
      <c r="E992" s="12" t="s">
        <v>1934</v>
      </c>
      <c r="F992" s="12" t="s">
        <v>98</v>
      </c>
      <c r="G992" s="12" t="s">
        <v>1924</v>
      </c>
      <c r="H992" s="12" t="s">
        <v>731</v>
      </c>
      <c r="I992" s="12" t="s">
        <v>175</v>
      </c>
      <c r="J992" s="12" t="s">
        <v>176</v>
      </c>
      <c r="K992" s="12" t="s">
        <v>22</v>
      </c>
      <c r="L992" s="12" t="s">
        <v>96</v>
      </c>
      <c r="M992" s="11" t="s">
        <v>88</v>
      </c>
    </row>
    <row r="993" customFormat="false" ht="28.35" hidden="false" customHeight="false" outlineLevel="0" collapsed="false">
      <c r="A993" s="11" t="s">
        <v>1936</v>
      </c>
      <c r="B993" s="12" t="s">
        <v>60</v>
      </c>
      <c r="C993" s="12" t="s">
        <v>59</v>
      </c>
      <c r="D993" s="12" t="n">
        <v>12</v>
      </c>
      <c r="E993" s="12" t="s">
        <v>1934</v>
      </c>
      <c r="F993" s="12" t="s">
        <v>98</v>
      </c>
      <c r="G993" s="12" t="s">
        <v>1937</v>
      </c>
      <c r="H993" s="12" t="s">
        <v>731</v>
      </c>
      <c r="I993" s="12" t="s">
        <v>175</v>
      </c>
      <c r="J993" s="12" t="s">
        <v>176</v>
      </c>
      <c r="K993" s="12" t="s">
        <v>22</v>
      </c>
      <c r="L993" s="12" t="s">
        <v>96</v>
      </c>
      <c r="M993" s="11" t="s">
        <v>88</v>
      </c>
    </row>
    <row r="994" customFormat="false" ht="28.35" hidden="false" customHeight="false" outlineLevel="0" collapsed="false">
      <c r="A994" s="11" t="s">
        <v>1938</v>
      </c>
      <c r="B994" s="12" t="s">
        <v>60</v>
      </c>
      <c r="C994" s="12" t="s">
        <v>59</v>
      </c>
      <c r="D994" s="12" t="n">
        <v>13</v>
      </c>
      <c r="E994" s="12" t="s">
        <v>1934</v>
      </c>
      <c r="F994" s="12" t="s">
        <v>98</v>
      </c>
      <c r="G994" s="12" t="s">
        <v>1939</v>
      </c>
      <c r="H994" s="12" t="s">
        <v>731</v>
      </c>
      <c r="I994" s="12" t="s">
        <v>175</v>
      </c>
      <c r="J994" s="12" t="s">
        <v>176</v>
      </c>
      <c r="K994" s="12" t="s">
        <v>22</v>
      </c>
      <c r="L994" s="12" t="s">
        <v>96</v>
      </c>
      <c r="M994" s="11" t="s">
        <v>88</v>
      </c>
    </row>
    <row r="995" customFormat="false" ht="28.35" hidden="false" customHeight="false" outlineLevel="0" collapsed="false">
      <c r="A995" s="11" t="s">
        <v>1940</v>
      </c>
      <c r="B995" s="12" t="s">
        <v>60</v>
      </c>
      <c r="C995" s="12" t="s">
        <v>59</v>
      </c>
      <c r="D995" s="12" t="n">
        <v>14</v>
      </c>
      <c r="E995" s="12" t="s">
        <v>1934</v>
      </c>
      <c r="F995" s="12" t="s">
        <v>98</v>
      </c>
      <c r="G995" s="12" t="s">
        <v>1941</v>
      </c>
      <c r="H995" s="12" t="s">
        <v>731</v>
      </c>
      <c r="I995" s="12" t="s">
        <v>175</v>
      </c>
      <c r="J995" s="12" t="s">
        <v>176</v>
      </c>
      <c r="K995" s="12" t="s">
        <v>22</v>
      </c>
      <c r="L995" s="12" t="s">
        <v>96</v>
      </c>
      <c r="M995" s="11" t="s">
        <v>88</v>
      </c>
    </row>
    <row r="996" customFormat="false" ht="28.35" hidden="false" customHeight="false" outlineLevel="0" collapsed="false">
      <c r="A996" s="11" t="s">
        <v>1942</v>
      </c>
      <c r="B996" s="12" t="s">
        <v>60</v>
      </c>
      <c r="C996" s="12" t="s">
        <v>59</v>
      </c>
      <c r="D996" s="12" t="n">
        <v>15</v>
      </c>
      <c r="E996" s="12" t="s">
        <v>1934</v>
      </c>
      <c r="F996" s="12" t="s">
        <v>98</v>
      </c>
      <c r="G996" s="12" t="s">
        <v>1943</v>
      </c>
      <c r="H996" s="12" t="s">
        <v>731</v>
      </c>
      <c r="I996" s="12" t="s">
        <v>175</v>
      </c>
      <c r="J996" s="12" t="s">
        <v>176</v>
      </c>
      <c r="K996" s="12" t="s">
        <v>22</v>
      </c>
      <c r="L996" s="12" t="s">
        <v>96</v>
      </c>
      <c r="M996" s="11" t="s">
        <v>88</v>
      </c>
    </row>
    <row r="997" customFormat="false" ht="28.35" hidden="false" customHeight="false" outlineLevel="0" collapsed="false">
      <c r="A997" s="11" t="s">
        <v>1944</v>
      </c>
      <c r="B997" s="12" t="s">
        <v>60</v>
      </c>
      <c r="C997" s="12" t="s">
        <v>59</v>
      </c>
      <c r="D997" s="12" t="n">
        <v>16</v>
      </c>
      <c r="E997" s="12" t="s">
        <v>1945</v>
      </c>
      <c r="F997" s="12" t="s">
        <v>82</v>
      </c>
      <c r="G997" s="12" t="s">
        <v>1945</v>
      </c>
      <c r="H997" s="12" t="s">
        <v>731</v>
      </c>
      <c r="I997" s="12" t="s">
        <v>158</v>
      </c>
      <c r="J997" s="12" t="s">
        <v>159</v>
      </c>
      <c r="K997" s="12" t="s">
        <v>19</v>
      </c>
      <c r="L997" s="12" t="s">
        <v>87</v>
      </c>
      <c r="M997" s="11" t="s">
        <v>88</v>
      </c>
    </row>
    <row r="998" customFormat="false" ht="28.35" hidden="false" customHeight="false" outlineLevel="0" collapsed="false">
      <c r="A998" s="11" t="s">
        <v>1946</v>
      </c>
      <c r="B998" s="12" t="s">
        <v>60</v>
      </c>
      <c r="C998" s="12" t="s">
        <v>59</v>
      </c>
      <c r="D998" s="12" t="n">
        <v>17</v>
      </c>
      <c r="E998" s="12" t="s">
        <v>1945</v>
      </c>
      <c r="F998" s="12" t="s">
        <v>98</v>
      </c>
      <c r="G998" s="12" t="s">
        <v>1947</v>
      </c>
      <c r="H998" s="12" t="s">
        <v>731</v>
      </c>
      <c r="I998" s="12" t="s">
        <v>175</v>
      </c>
      <c r="J998" s="12" t="s">
        <v>176</v>
      </c>
      <c r="K998" s="12" t="s">
        <v>22</v>
      </c>
      <c r="L998" s="12" t="s">
        <v>96</v>
      </c>
      <c r="M998" s="11" t="s">
        <v>88</v>
      </c>
    </row>
    <row r="999" customFormat="false" ht="28.35" hidden="false" customHeight="false" outlineLevel="0" collapsed="false">
      <c r="A999" s="11" t="s">
        <v>1948</v>
      </c>
      <c r="B999" s="12" t="s">
        <v>60</v>
      </c>
      <c r="C999" s="12" t="s">
        <v>59</v>
      </c>
      <c r="D999" s="12" t="n">
        <v>18</v>
      </c>
      <c r="E999" s="12" t="s">
        <v>1945</v>
      </c>
      <c r="F999" s="12" t="s">
        <v>98</v>
      </c>
      <c r="G999" s="12" t="s">
        <v>1949</v>
      </c>
      <c r="H999" s="12" t="s">
        <v>731</v>
      </c>
      <c r="I999" s="12" t="s">
        <v>175</v>
      </c>
      <c r="J999" s="12" t="s">
        <v>176</v>
      </c>
      <c r="K999" s="12" t="s">
        <v>22</v>
      </c>
      <c r="L999" s="12" t="s">
        <v>96</v>
      </c>
      <c r="M999" s="11" t="s">
        <v>88</v>
      </c>
    </row>
    <row r="1000" customFormat="false" ht="28.35" hidden="false" customHeight="false" outlineLevel="0" collapsed="false">
      <c r="A1000" s="11" t="s">
        <v>1950</v>
      </c>
      <c r="B1000" s="12" t="s">
        <v>60</v>
      </c>
      <c r="C1000" s="12" t="s">
        <v>59</v>
      </c>
      <c r="D1000" s="12" t="n">
        <v>19</v>
      </c>
      <c r="E1000" s="12" t="s">
        <v>1945</v>
      </c>
      <c r="F1000" s="12" t="s">
        <v>98</v>
      </c>
      <c r="G1000" s="12" t="s">
        <v>1951</v>
      </c>
      <c r="H1000" s="12" t="s">
        <v>731</v>
      </c>
      <c r="I1000" s="12" t="s">
        <v>175</v>
      </c>
      <c r="J1000" s="12" t="s">
        <v>176</v>
      </c>
      <c r="K1000" s="12" t="s">
        <v>22</v>
      </c>
      <c r="L1000" s="12" t="s">
        <v>96</v>
      </c>
      <c r="M1000" s="11" t="s">
        <v>88</v>
      </c>
    </row>
    <row r="1001" customFormat="false" ht="28.35" hidden="false" customHeight="false" outlineLevel="0" collapsed="false">
      <c r="A1001" s="11" t="s">
        <v>1952</v>
      </c>
      <c r="B1001" s="12" t="s">
        <v>60</v>
      </c>
      <c r="C1001" s="12" t="s">
        <v>59</v>
      </c>
      <c r="D1001" s="12" t="n">
        <v>20</v>
      </c>
      <c r="E1001" s="12" t="s">
        <v>1945</v>
      </c>
      <c r="F1001" s="12" t="s">
        <v>98</v>
      </c>
      <c r="G1001" s="12" t="s">
        <v>1953</v>
      </c>
      <c r="H1001" s="12" t="s">
        <v>731</v>
      </c>
      <c r="I1001" s="12" t="s">
        <v>175</v>
      </c>
      <c r="J1001" s="12" t="s">
        <v>176</v>
      </c>
      <c r="K1001" s="12" t="s">
        <v>22</v>
      </c>
      <c r="L1001" s="12" t="s">
        <v>96</v>
      </c>
      <c r="M1001" s="11" t="s">
        <v>88</v>
      </c>
    </row>
    <row r="1002" customFormat="false" ht="28.35" hidden="false" customHeight="false" outlineLevel="0" collapsed="false">
      <c r="A1002" s="11" t="s">
        <v>1954</v>
      </c>
      <c r="B1002" s="12" t="s">
        <v>60</v>
      </c>
      <c r="C1002" s="12" t="s">
        <v>59</v>
      </c>
      <c r="D1002" s="12" t="n">
        <v>21</v>
      </c>
      <c r="E1002" s="12" t="s">
        <v>1945</v>
      </c>
      <c r="F1002" s="12" t="s">
        <v>98</v>
      </c>
      <c r="G1002" s="12" t="s">
        <v>1955</v>
      </c>
      <c r="H1002" s="12" t="s">
        <v>731</v>
      </c>
      <c r="I1002" s="12" t="s">
        <v>175</v>
      </c>
      <c r="J1002" s="12" t="s">
        <v>176</v>
      </c>
      <c r="K1002" s="12" t="s">
        <v>22</v>
      </c>
      <c r="L1002" s="12" t="s">
        <v>96</v>
      </c>
      <c r="M1002" s="11" t="s">
        <v>88</v>
      </c>
    </row>
    <row r="1003" customFormat="false" ht="28.35" hidden="false" customHeight="false" outlineLevel="0" collapsed="false">
      <c r="A1003" s="11" t="s">
        <v>1956</v>
      </c>
      <c r="B1003" s="12" t="s">
        <v>60</v>
      </c>
      <c r="C1003" s="12" t="s">
        <v>59</v>
      </c>
      <c r="D1003" s="12" t="n">
        <v>22</v>
      </c>
      <c r="E1003" s="12" t="s">
        <v>1957</v>
      </c>
      <c r="F1003" s="12" t="s">
        <v>82</v>
      </c>
      <c r="G1003" s="12" t="s">
        <v>1957</v>
      </c>
      <c r="H1003" s="12" t="s">
        <v>1255</v>
      </c>
      <c r="I1003" s="12" t="s">
        <v>158</v>
      </c>
      <c r="J1003" s="12" t="s">
        <v>159</v>
      </c>
      <c r="K1003" s="12" t="s">
        <v>19</v>
      </c>
      <c r="L1003" s="12" t="s">
        <v>87</v>
      </c>
      <c r="M1003" s="11" t="s">
        <v>88</v>
      </c>
    </row>
    <row r="1004" customFormat="false" ht="28.35" hidden="false" customHeight="false" outlineLevel="0" collapsed="false">
      <c r="A1004" s="11" t="s">
        <v>1958</v>
      </c>
      <c r="B1004" s="12" t="s">
        <v>60</v>
      </c>
      <c r="C1004" s="12" t="s">
        <v>59</v>
      </c>
      <c r="D1004" s="12" t="n">
        <v>23</v>
      </c>
      <c r="E1004" s="12" t="s">
        <v>1957</v>
      </c>
      <c r="F1004" s="12" t="s">
        <v>98</v>
      </c>
      <c r="G1004" s="12" t="s">
        <v>1924</v>
      </c>
      <c r="H1004" s="12" t="s">
        <v>1255</v>
      </c>
      <c r="I1004" s="12" t="s">
        <v>175</v>
      </c>
      <c r="J1004" s="12" t="s">
        <v>176</v>
      </c>
      <c r="K1004" s="12" t="s">
        <v>22</v>
      </c>
      <c r="L1004" s="12" t="s">
        <v>96</v>
      </c>
      <c r="M1004" s="11" t="s">
        <v>88</v>
      </c>
    </row>
    <row r="1005" customFormat="false" ht="28.35" hidden="false" customHeight="false" outlineLevel="0" collapsed="false">
      <c r="A1005" s="11" t="s">
        <v>1959</v>
      </c>
      <c r="B1005" s="12" t="s">
        <v>60</v>
      </c>
      <c r="C1005" s="12" t="s">
        <v>59</v>
      </c>
      <c r="D1005" s="12" t="n">
        <v>24</v>
      </c>
      <c r="E1005" s="12" t="s">
        <v>1957</v>
      </c>
      <c r="F1005" s="12" t="s">
        <v>98</v>
      </c>
      <c r="G1005" s="12" t="s">
        <v>1960</v>
      </c>
      <c r="H1005" s="12" t="s">
        <v>1255</v>
      </c>
      <c r="I1005" s="12" t="s">
        <v>175</v>
      </c>
      <c r="J1005" s="12" t="s">
        <v>176</v>
      </c>
      <c r="K1005" s="12" t="s">
        <v>22</v>
      </c>
      <c r="L1005" s="12" t="s">
        <v>96</v>
      </c>
      <c r="M1005" s="11" t="s">
        <v>88</v>
      </c>
    </row>
    <row r="1006" customFormat="false" ht="28.35" hidden="false" customHeight="false" outlineLevel="0" collapsed="false">
      <c r="A1006" s="11" t="s">
        <v>1961</v>
      </c>
      <c r="B1006" s="12" t="s">
        <v>60</v>
      </c>
      <c r="C1006" s="12" t="s">
        <v>59</v>
      </c>
      <c r="D1006" s="12" t="n">
        <v>25</v>
      </c>
      <c r="E1006" s="12" t="s">
        <v>1957</v>
      </c>
      <c r="F1006" s="12" t="s">
        <v>98</v>
      </c>
      <c r="G1006" s="12" t="s">
        <v>1962</v>
      </c>
      <c r="H1006" s="12" t="s">
        <v>1255</v>
      </c>
      <c r="I1006" s="12" t="s">
        <v>175</v>
      </c>
      <c r="J1006" s="12" t="s">
        <v>176</v>
      </c>
      <c r="K1006" s="12" t="s">
        <v>22</v>
      </c>
      <c r="L1006" s="12" t="s">
        <v>96</v>
      </c>
      <c r="M1006" s="11" t="s">
        <v>88</v>
      </c>
    </row>
    <row r="1007" customFormat="false" ht="28.35" hidden="false" customHeight="false" outlineLevel="0" collapsed="false">
      <c r="A1007" s="11" t="s">
        <v>1963</v>
      </c>
      <c r="B1007" s="12" t="s">
        <v>60</v>
      </c>
      <c r="C1007" s="12" t="s">
        <v>59</v>
      </c>
      <c r="D1007" s="12" t="n">
        <v>26</v>
      </c>
      <c r="E1007" s="12" t="s">
        <v>1957</v>
      </c>
      <c r="F1007" s="12" t="s">
        <v>98</v>
      </c>
      <c r="G1007" s="12" t="s">
        <v>1964</v>
      </c>
      <c r="H1007" s="12" t="s">
        <v>1255</v>
      </c>
      <c r="I1007" s="12" t="s">
        <v>175</v>
      </c>
      <c r="J1007" s="12" t="s">
        <v>176</v>
      </c>
      <c r="K1007" s="12" t="s">
        <v>22</v>
      </c>
      <c r="L1007" s="12" t="s">
        <v>96</v>
      </c>
      <c r="M1007" s="11" t="s">
        <v>88</v>
      </c>
    </row>
    <row r="1008" customFormat="false" ht="28.35" hidden="false" customHeight="false" outlineLevel="0" collapsed="false">
      <c r="A1008" s="11" t="s">
        <v>1965</v>
      </c>
      <c r="B1008" s="12" t="s">
        <v>60</v>
      </c>
      <c r="C1008" s="12" t="s">
        <v>59</v>
      </c>
      <c r="D1008" s="12" t="n">
        <v>27</v>
      </c>
      <c r="E1008" s="12" t="s">
        <v>1957</v>
      </c>
      <c r="F1008" s="12" t="s">
        <v>98</v>
      </c>
      <c r="G1008" s="12" t="s">
        <v>1966</v>
      </c>
      <c r="H1008" s="12" t="s">
        <v>1255</v>
      </c>
      <c r="I1008" s="12" t="s">
        <v>175</v>
      </c>
      <c r="J1008" s="12" t="s">
        <v>176</v>
      </c>
      <c r="K1008" s="12" t="s">
        <v>22</v>
      </c>
      <c r="L1008" s="12" t="s">
        <v>96</v>
      </c>
      <c r="M1008" s="11" t="s">
        <v>88</v>
      </c>
    </row>
    <row r="1009" customFormat="false" ht="28.35" hidden="false" customHeight="false" outlineLevel="0" collapsed="false">
      <c r="A1009" s="11" t="s">
        <v>1967</v>
      </c>
      <c r="B1009" s="12" t="s">
        <v>60</v>
      </c>
      <c r="C1009" s="12" t="s">
        <v>59</v>
      </c>
      <c r="D1009" s="12" t="n">
        <v>28</v>
      </c>
      <c r="E1009" s="12" t="s">
        <v>1968</v>
      </c>
      <c r="F1009" s="12" t="s">
        <v>82</v>
      </c>
      <c r="G1009" s="12" t="s">
        <v>1968</v>
      </c>
      <c r="H1009" s="12" t="s">
        <v>942</v>
      </c>
      <c r="I1009" s="12" t="s">
        <v>158</v>
      </c>
      <c r="J1009" s="12" t="s">
        <v>159</v>
      </c>
      <c r="K1009" s="12" t="s">
        <v>19</v>
      </c>
      <c r="L1009" s="12" t="s">
        <v>87</v>
      </c>
      <c r="M1009" s="11" t="s">
        <v>88</v>
      </c>
    </row>
    <row r="1010" customFormat="false" ht="28.35" hidden="false" customHeight="false" outlineLevel="0" collapsed="false">
      <c r="A1010" s="11" t="s">
        <v>1969</v>
      </c>
      <c r="B1010" s="12" t="s">
        <v>60</v>
      </c>
      <c r="C1010" s="12" t="s">
        <v>59</v>
      </c>
      <c r="D1010" s="12" t="n">
        <v>29</v>
      </c>
      <c r="E1010" s="12" t="s">
        <v>1968</v>
      </c>
      <c r="F1010" s="12" t="s">
        <v>98</v>
      </c>
      <c r="G1010" s="12" t="s">
        <v>1970</v>
      </c>
      <c r="H1010" s="12" t="s">
        <v>942</v>
      </c>
      <c r="I1010" s="12" t="s">
        <v>175</v>
      </c>
      <c r="J1010" s="12" t="s">
        <v>176</v>
      </c>
      <c r="K1010" s="12" t="s">
        <v>22</v>
      </c>
      <c r="L1010" s="12" t="s">
        <v>96</v>
      </c>
      <c r="M1010" s="11" t="s">
        <v>88</v>
      </c>
    </row>
    <row r="1011" customFormat="false" ht="28.35" hidden="false" customHeight="false" outlineLevel="0" collapsed="false">
      <c r="A1011" s="11" t="s">
        <v>1971</v>
      </c>
      <c r="B1011" s="12" t="s">
        <v>60</v>
      </c>
      <c r="C1011" s="12" t="s">
        <v>59</v>
      </c>
      <c r="D1011" s="12" t="n">
        <v>30</v>
      </c>
      <c r="E1011" s="12" t="s">
        <v>1968</v>
      </c>
      <c r="F1011" s="12" t="s">
        <v>98</v>
      </c>
      <c r="G1011" s="12" t="s">
        <v>1972</v>
      </c>
      <c r="H1011" s="12" t="s">
        <v>942</v>
      </c>
      <c r="I1011" s="12" t="s">
        <v>175</v>
      </c>
      <c r="J1011" s="12" t="s">
        <v>176</v>
      </c>
      <c r="K1011" s="12" t="s">
        <v>22</v>
      </c>
      <c r="L1011" s="12" t="s">
        <v>96</v>
      </c>
      <c r="M1011" s="11" t="s">
        <v>88</v>
      </c>
    </row>
    <row r="1012" customFormat="false" ht="28.35" hidden="false" customHeight="false" outlineLevel="0" collapsed="false">
      <c r="A1012" s="11" t="s">
        <v>1973</v>
      </c>
      <c r="B1012" s="12" t="s">
        <v>60</v>
      </c>
      <c r="C1012" s="12" t="s">
        <v>59</v>
      </c>
      <c r="D1012" s="12" t="n">
        <v>31</v>
      </c>
      <c r="E1012" s="12" t="s">
        <v>1968</v>
      </c>
      <c r="F1012" s="12" t="s">
        <v>98</v>
      </c>
      <c r="G1012" s="12" t="s">
        <v>1974</v>
      </c>
      <c r="H1012" s="12" t="s">
        <v>942</v>
      </c>
      <c r="I1012" s="12" t="s">
        <v>175</v>
      </c>
      <c r="J1012" s="12" t="s">
        <v>176</v>
      </c>
      <c r="K1012" s="12" t="s">
        <v>22</v>
      </c>
      <c r="L1012" s="12" t="s">
        <v>96</v>
      </c>
      <c r="M1012" s="11" t="s">
        <v>88</v>
      </c>
    </row>
    <row r="1013" customFormat="false" ht="28.35" hidden="false" customHeight="false" outlineLevel="0" collapsed="false">
      <c r="A1013" s="11" t="s">
        <v>1975</v>
      </c>
      <c r="B1013" s="12" t="s">
        <v>60</v>
      </c>
      <c r="C1013" s="12" t="s">
        <v>59</v>
      </c>
      <c r="D1013" s="12" t="n">
        <v>32</v>
      </c>
      <c r="E1013" s="12" t="s">
        <v>1968</v>
      </c>
      <c r="F1013" s="12" t="s">
        <v>98</v>
      </c>
      <c r="G1013" s="12" t="s">
        <v>1976</v>
      </c>
      <c r="H1013" s="12" t="s">
        <v>942</v>
      </c>
      <c r="I1013" s="12" t="s">
        <v>175</v>
      </c>
      <c r="J1013" s="12" t="s">
        <v>176</v>
      </c>
      <c r="K1013" s="12" t="s">
        <v>22</v>
      </c>
      <c r="L1013" s="12" t="s">
        <v>96</v>
      </c>
      <c r="M1013" s="11" t="s">
        <v>88</v>
      </c>
    </row>
    <row r="1014" customFormat="false" ht="28.35" hidden="false" customHeight="false" outlineLevel="0" collapsed="false">
      <c r="A1014" s="11" t="s">
        <v>1977</v>
      </c>
      <c r="B1014" s="12" t="s">
        <v>60</v>
      </c>
      <c r="C1014" s="12" t="s">
        <v>59</v>
      </c>
      <c r="D1014" s="12" t="n">
        <v>33</v>
      </c>
      <c r="E1014" s="12" t="s">
        <v>1968</v>
      </c>
      <c r="F1014" s="12" t="s">
        <v>98</v>
      </c>
      <c r="G1014" s="12" t="s">
        <v>1978</v>
      </c>
      <c r="H1014" s="12" t="s">
        <v>942</v>
      </c>
      <c r="I1014" s="12" t="s">
        <v>175</v>
      </c>
      <c r="J1014" s="12" t="s">
        <v>176</v>
      </c>
      <c r="K1014" s="12" t="s">
        <v>22</v>
      </c>
      <c r="L1014" s="12" t="s">
        <v>96</v>
      </c>
      <c r="M1014" s="11" t="s">
        <v>88</v>
      </c>
    </row>
    <row r="1015" customFormat="false" ht="28.35" hidden="false" customHeight="false" outlineLevel="0" collapsed="false">
      <c r="A1015" s="11" t="s">
        <v>1979</v>
      </c>
      <c r="B1015" s="12" t="s">
        <v>60</v>
      </c>
      <c r="C1015" s="12" t="s">
        <v>59</v>
      </c>
      <c r="D1015" s="12" t="n">
        <v>34</v>
      </c>
      <c r="E1015" s="12" t="s">
        <v>1968</v>
      </c>
      <c r="F1015" s="12" t="s">
        <v>98</v>
      </c>
      <c r="G1015" s="12" t="s">
        <v>1980</v>
      </c>
      <c r="H1015" s="12" t="s">
        <v>942</v>
      </c>
      <c r="I1015" s="12" t="s">
        <v>175</v>
      </c>
      <c r="J1015" s="12" t="s">
        <v>176</v>
      </c>
      <c r="K1015" s="12" t="s">
        <v>22</v>
      </c>
      <c r="L1015" s="12" t="s">
        <v>96</v>
      </c>
      <c r="M1015" s="11" t="s">
        <v>88</v>
      </c>
    </row>
    <row r="1016" customFormat="false" ht="28.35" hidden="false" customHeight="false" outlineLevel="0" collapsed="false">
      <c r="A1016" s="11" t="s">
        <v>1981</v>
      </c>
      <c r="B1016" s="12" t="s">
        <v>62</v>
      </c>
      <c r="C1016" s="12" t="s">
        <v>61</v>
      </c>
      <c r="D1016" s="12" t="n">
        <v>1</v>
      </c>
      <c r="E1016" s="12"/>
      <c r="F1016" s="12" t="s">
        <v>98</v>
      </c>
      <c r="G1016" s="12" t="s">
        <v>1982</v>
      </c>
      <c r="H1016" s="12" t="s">
        <v>1255</v>
      </c>
      <c r="I1016" s="12" t="s">
        <v>175</v>
      </c>
      <c r="J1016" s="12" t="s">
        <v>176</v>
      </c>
      <c r="K1016" s="12" t="s">
        <v>22</v>
      </c>
      <c r="L1016" s="12" t="s">
        <v>96</v>
      </c>
      <c r="M1016" s="11" t="s">
        <v>88</v>
      </c>
    </row>
    <row r="1017" customFormat="false" ht="28.35" hidden="false" customHeight="false" outlineLevel="0" collapsed="false">
      <c r="A1017" s="11" t="s">
        <v>1983</v>
      </c>
      <c r="B1017" s="12" t="s">
        <v>62</v>
      </c>
      <c r="C1017" s="12" t="s">
        <v>61</v>
      </c>
      <c r="D1017" s="12" t="n">
        <v>2</v>
      </c>
      <c r="E1017" s="12"/>
      <c r="F1017" s="12" t="s">
        <v>132</v>
      </c>
      <c r="G1017" s="12" t="s">
        <v>1984</v>
      </c>
      <c r="H1017" s="12" t="s">
        <v>1255</v>
      </c>
      <c r="I1017" s="12" t="s">
        <v>168</v>
      </c>
      <c r="J1017" s="12" t="s">
        <v>169</v>
      </c>
      <c r="K1017" s="12" t="s">
        <v>31</v>
      </c>
      <c r="L1017" s="12" t="s">
        <v>96</v>
      </c>
      <c r="M1017" s="11" t="s">
        <v>170</v>
      </c>
    </row>
    <row r="1018" customFormat="false" ht="28.35" hidden="false" customHeight="false" outlineLevel="0" collapsed="false">
      <c r="A1018" s="11" t="s">
        <v>1985</v>
      </c>
      <c r="B1018" s="12" t="s">
        <v>62</v>
      </c>
      <c r="C1018" s="12" t="s">
        <v>61</v>
      </c>
      <c r="D1018" s="12" t="n">
        <v>3</v>
      </c>
      <c r="E1018" s="12"/>
      <c r="F1018" s="12" t="s">
        <v>98</v>
      </c>
      <c r="G1018" s="12" t="s">
        <v>1986</v>
      </c>
      <c r="H1018" s="12" t="s">
        <v>1255</v>
      </c>
      <c r="I1018" s="12" t="s">
        <v>175</v>
      </c>
      <c r="J1018" s="12" t="s">
        <v>176</v>
      </c>
      <c r="K1018" s="12" t="s">
        <v>22</v>
      </c>
      <c r="L1018" s="12" t="s">
        <v>96</v>
      </c>
      <c r="M1018" s="11" t="s">
        <v>88</v>
      </c>
    </row>
    <row r="1019" customFormat="false" ht="28.35" hidden="false" customHeight="false" outlineLevel="0" collapsed="false">
      <c r="A1019" s="11" t="s">
        <v>1987</v>
      </c>
      <c r="B1019" s="12" t="s">
        <v>62</v>
      </c>
      <c r="C1019" s="12" t="s">
        <v>61</v>
      </c>
      <c r="D1019" s="12" t="n">
        <v>4</v>
      </c>
      <c r="E1019" s="12"/>
      <c r="F1019" s="12" t="s">
        <v>132</v>
      </c>
      <c r="G1019" s="12" t="s">
        <v>1988</v>
      </c>
      <c r="H1019" s="12" t="s">
        <v>1255</v>
      </c>
      <c r="I1019" s="12" t="s">
        <v>164</v>
      </c>
      <c r="J1019" s="12" t="s">
        <v>165</v>
      </c>
      <c r="K1019" s="12" t="s">
        <v>16</v>
      </c>
      <c r="L1019" s="12" t="s">
        <v>87</v>
      </c>
      <c r="M1019" s="11" t="s">
        <v>88</v>
      </c>
    </row>
    <row r="1020" customFormat="false" ht="28.35" hidden="false" customHeight="false" outlineLevel="0" collapsed="false">
      <c r="A1020" s="11" t="s">
        <v>1989</v>
      </c>
      <c r="B1020" s="12" t="s">
        <v>62</v>
      </c>
      <c r="C1020" s="12" t="s">
        <v>61</v>
      </c>
      <c r="D1020" s="12" t="n">
        <v>5</v>
      </c>
      <c r="E1020" s="12"/>
      <c r="F1020" s="12" t="s">
        <v>132</v>
      </c>
      <c r="G1020" s="12" t="s">
        <v>1990</v>
      </c>
      <c r="H1020" s="12" t="s">
        <v>1255</v>
      </c>
      <c r="I1020" s="12" t="s">
        <v>164</v>
      </c>
      <c r="J1020" s="12" t="s">
        <v>165</v>
      </c>
      <c r="K1020" s="12" t="s">
        <v>16</v>
      </c>
      <c r="L1020" s="12" t="s">
        <v>87</v>
      </c>
      <c r="M1020" s="11" t="s">
        <v>88</v>
      </c>
    </row>
    <row r="1021" customFormat="false" ht="28.35" hidden="false" customHeight="false" outlineLevel="0" collapsed="false">
      <c r="A1021" s="11" t="s">
        <v>1991</v>
      </c>
      <c r="B1021" s="12" t="s">
        <v>62</v>
      </c>
      <c r="C1021" s="12" t="s">
        <v>61</v>
      </c>
      <c r="D1021" s="12" t="n">
        <v>6</v>
      </c>
      <c r="E1021" s="12"/>
      <c r="F1021" s="12" t="s">
        <v>132</v>
      </c>
      <c r="G1021" s="12" t="s">
        <v>1992</v>
      </c>
      <c r="H1021" s="12" t="s">
        <v>1255</v>
      </c>
      <c r="I1021" s="12" t="s">
        <v>164</v>
      </c>
      <c r="J1021" s="12" t="s">
        <v>165</v>
      </c>
      <c r="K1021" s="12" t="s">
        <v>16</v>
      </c>
      <c r="L1021" s="12" t="s">
        <v>87</v>
      </c>
      <c r="M1021" s="11" t="s">
        <v>88</v>
      </c>
    </row>
    <row r="1022" customFormat="false" ht="28.35" hidden="false" customHeight="false" outlineLevel="0" collapsed="false">
      <c r="A1022" s="11" t="s">
        <v>1993</v>
      </c>
      <c r="B1022" s="12" t="s">
        <v>62</v>
      </c>
      <c r="C1022" s="12" t="s">
        <v>61</v>
      </c>
      <c r="D1022" s="12" t="n">
        <v>7</v>
      </c>
      <c r="E1022" s="12"/>
      <c r="F1022" s="12" t="s">
        <v>132</v>
      </c>
      <c r="G1022" s="12" t="s">
        <v>1994</v>
      </c>
      <c r="H1022" s="12" t="s">
        <v>1255</v>
      </c>
      <c r="I1022" s="12" t="s">
        <v>164</v>
      </c>
      <c r="J1022" s="12" t="s">
        <v>165</v>
      </c>
      <c r="K1022" s="12" t="s">
        <v>16</v>
      </c>
      <c r="L1022" s="12" t="s">
        <v>87</v>
      </c>
      <c r="M1022" s="11" t="s">
        <v>88</v>
      </c>
    </row>
    <row r="1023" customFormat="false" ht="28.35" hidden="false" customHeight="false" outlineLevel="0" collapsed="false">
      <c r="A1023" s="11" t="s">
        <v>1995</v>
      </c>
      <c r="B1023" s="12" t="s">
        <v>62</v>
      </c>
      <c r="C1023" s="12" t="s">
        <v>61</v>
      </c>
      <c r="D1023" s="12" t="n">
        <v>8</v>
      </c>
      <c r="E1023" s="12"/>
      <c r="F1023" s="12" t="s">
        <v>132</v>
      </c>
      <c r="G1023" s="12" t="s">
        <v>1996</v>
      </c>
      <c r="H1023" s="12" t="s">
        <v>1255</v>
      </c>
      <c r="I1023" s="12" t="s">
        <v>164</v>
      </c>
      <c r="J1023" s="12" t="s">
        <v>165</v>
      </c>
      <c r="K1023" s="12" t="s">
        <v>16</v>
      </c>
      <c r="L1023" s="12" t="s">
        <v>87</v>
      </c>
      <c r="M1023" s="11" t="s">
        <v>88</v>
      </c>
    </row>
    <row r="1024" customFormat="false" ht="28.35" hidden="false" customHeight="false" outlineLevel="0" collapsed="false">
      <c r="A1024" s="11" t="s">
        <v>1997</v>
      </c>
      <c r="B1024" s="12" t="s">
        <v>62</v>
      </c>
      <c r="C1024" s="12" t="s">
        <v>61</v>
      </c>
      <c r="D1024" s="12" t="n">
        <v>9</v>
      </c>
      <c r="E1024" s="12"/>
      <c r="F1024" s="12" t="s">
        <v>132</v>
      </c>
      <c r="G1024" s="12" t="s">
        <v>1998</v>
      </c>
      <c r="H1024" s="12" t="s">
        <v>1255</v>
      </c>
      <c r="I1024" s="12" t="s">
        <v>411</v>
      </c>
      <c r="J1024" s="12" t="s">
        <v>412</v>
      </c>
      <c r="K1024" s="12" t="s">
        <v>413</v>
      </c>
      <c r="L1024" s="12" t="s">
        <v>87</v>
      </c>
      <c r="M1024" s="11" t="s">
        <v>88</v>
      </c>
    </row>
    <row r="1025" customFormat="false" ht="28.35" hidden="false" customHeight="false" outlineLevel="0" collapsed="false">
      <c r="A1025" s="11" t="s">
        <v>1999</v>
      </c>
      <c r="B1025" s="12" t="s">
        <v>62</v>
      </c>
      <c r="C1025" s="12" t="s">
        <v>61</v>
      </c>
      <c r="D1025" s="12" t="n">
        <v>10</v>
      </c>
      <c r="E1025" s="12"/>
      <c r="F1025" s="12" t="s">
        <v>132</v>
      </c>
      <c r="G1025" s="12" t="s">
        <v>2000</v>
      </c>
      <c r="H1025" s="12" t="s">
        <v>1255</v>
      </c>
      <c r="I1025" s="12" t="s">
        <v>164</v>
      </c>
      <c r="J1025" s="12" t="s">
        <v>165</v>
      </c>
      <c r="K1025" s="12" t="s">
        <v>16</v>
      </c>
      <c r="L1025" s="12" t="s">
        <v>87</v>
      </c>
      <c r="M1025" s="11" t="s">
        <v>88</v>
      </c>
    </row>
    <row r="1026" customFormat="false" ht="28.35" hidden="false" customHeight="false" outlineLevel="0" collapsed="false">
      <c r="A1026" s="11" t="s">
        <v>2001</v>
      </c>
      <c r="B1026" s="12" t="s">
        <v>62</v>
      </c>
      <c r="C1026" s="12" t="s">
        <v>61</v>
      </c>
      <c r="D1026" s="12" t="n">
        <v>11</v>
      </c>
      <c r="E1026" s="12"/>
      <c r="F1026" s="12" t="s">
        <v>132</v>
      </c>
      <c r="G1026" s="12" t="s">
        <v>2002</v>
      </c>
      <c r="H1026" s="12" t="s">
        <v>1255</v>
      </c>
      <c r="I1026" s="12" t="s">
        <v>164</v>
      </c>
      <c r="J1026" s="12" t="s">
        <v>165</v>
      </c>
      <c r="K1026" s="12" t="s">
        <v>16</v>
      </c>
      <c r="L1026" s="12" t="s">
        <v>87</v>
      </c>
      <c r="M1026" s="11" t="s">
        <v>88</v>
      </c>
    </row>
    <row r="1027" customFormat="false" ht="28.35" hidden="false" customHeight="false" outlineLevel="0" collapsed="false">
      <c r="A1027" s="11" t="s">
        <v>2003</v>
      </c>
      <c r="B1027" s="12" t="s">
        <v>62</v>
      </c>
      <c r="C1027" s="12" t="s">
        <v>61</v>
      </c>
      <c r="D1027" s="12" t="n">
        <v>12</v>
      </c>
      <c r="E1027" s="12"/>
      <c r="F1027" s="12" t="s">
        <v>132</v>
      </c>
      <c r="G1027" s="12" t="s">
        <v>2004</v>
      </c>
      <c r="H1027" s="12" t="s">
        <v>1255</v>
      </c>
      <c r="I1027" s="12" t="s">
        <v>164</v>
      </c>
      <c r="J1027" s="12" t="s">
        <v>165</v>
      </c>
      <c r="K1027" s="12" t="s">
        <v>16</v>
      </c>
      <c r="L1027" s="12" t="s">
        <v>87</v>
      </c>
      <c r="M1027" s="11" t="s">
        <v>88</v>
      </c>
    </row>
    <row r="1028" customFormat="false" ht="28.35" hidden="false" customHeight="false" outlineLevel="0" collapsed="false">
      <c r="A1028" s="11" t="s">
        <v>2005</v>
      </c>
      <c r="B1028" s="12" t="s">
        <v>62</v>
      </c>
      <c r="C1028" s="12" t="s">
        <v>61</v>
      </c>
      <c r="D1028" s="12" t="n">
        <v>13</v>
      </c>
      <c r="E1028" s="12"/>
      <c r="F1028" s="12" t="s">
        <v>132</v>
      </c>
      <c r="G1028" s="12" t="s">
        <v>2006</v>
      </c>
      <c r="H1028" s="12" t="s">
        <v>1255</v>
      </c>
      <c r="I1028" s="12" t="s">
        <v>164</v>
      </c>
      <c r="J1028" s="12" t="s">
        <v>165</v>
      </c>
      <c r="K1028" s="12" t="s">
        <v>16</v>
      </c>
      <c r="L1028" s="12" t="s">
        <v>87</v>
      </c>
      <c r="M1028" s="11" t="s">
        <v>88</v>
      </c>
    </row>
    <row r="1029" customFormat="false" ht="28.35" hidden="false" customHeight="false" outlineLevel="0" collapsed="false">
      <c r="A1029" s="11" t="s">
        <v>2007</v>
      </c>
      <c r="B1029" s="12" t="s">
        <v>62</v>
      </c>
      <c r="C1029" s="12" t="s">
        <v>61</v>
      </c>
      <c r="D1029" s="12" t="n">
        <v>14</v>
      </c>
      <c r="E1029" s="12"/>
      <c r="F1029" s="12" t="s">
        <v>132</v>
      </c>
      <c r="G1029" s="12" t="s">
        <v>2008</v>
      </c>
      <c r="H1029" s="12" t="s">
        <v>1255</v>
      </c>
      <c r="I1029" s="12" t="s">
        <v>164</v>
      </c>
      <c r="J1029" s="12" t="s">
        <v>165</v>
      </c>
      <c r="K1029" s="12" t="s">
        <v>16</v>
      </c>
      <c r="L1029" s="12" t="s">
        <v>87</v>
      </c>
      <c r="M1029" s="11" t="s">
        <v>88</v>
      </c>
    </row>
    <row r="1030" customFormat="false" ht="28.35" hidden="false" customHeight="false" outlineLevel="0" collapsed="false">
      <c r="A1030" s="11" t="s">
        <v>2009</v>
      </c>
      <c r="B1030" s="12" t="s">
        <v>62</v>
      </c>
      <c r="C1030" s="12" t="s">
        <v>61</v>
      </c>
      <c r="D1030" s="12" t="n">
        <v>15</v>
      </c>
      <c r="E1030" s="12"/>
      <c r="F1030" s="12" t="s">
        <v>132</v>
      </c>
      <c r="G1030" s="12" t="s">
        <v>2010</v>
      </c>
      <c r="H1030" s="12" t="s">
        <v>1255</v>
      </c>
      <c r="I1030" s="12" t="s">
        <v>164</v>
      </c>
      <c r="J1030" s="12" t="s">
        <v>165</v>
      </c>
      <c r="K1030" s="12" t="s">
        <v>16</v>
      </c>
      <c r="L1030" s="12" t="s">
        <v>87</v>
      </c>
      <c r="M1030" s="11" t="s">
        <v>88</v>
      </c>
    </row>
    <row r="1031" customFormat="false" ht="28.35" hidden="false" customHeight="false" outlineLevel="0" collapsed="false">
      <c r="A1031" s="11" t="s">
        <v>2011</v>
      </c>
      <c r="B1031" s="12" t="s">
        <v>62</v>
      </c>
      <c r="C1031" s="12" t="s">
        <v>61</v>
      </c>
      <c r="D1031" s="12" t="n">
        <v>16</v>
      </c>
      <c r="E1031" s="12"/>
      <c r="F1031" s="12" t="s">
        <v>132</v>
      </c>
      <c r="G1031" s="12" t="s">
        <v>2012</v>
      </c>
      <c r="H1031" s="12" t="s">
        <v>1255</v>
      </c>
      <c r="I1031" s="12" t="s">
        <v>164</v>
      </c>
      <c r="J1031" s="12" t="s">
        <v>165</v>
      </c>
      <c r="K1031" s="12" t="s">
        <v>16</v>
      </c>
      <c r="L1031" s="12" t="s">
        <v>87</v>
      </c>
      <c r="M1031" s="11" t="s">
        <v>88</v>
      </c>
    </row>
    <row r="1032" customFormat="false" ht="28.35" hidden="false" customHeight="false" outlineLevel="0" collapsed="false">
      <c r="A1032" s="11" t="s">
        <v>2013</v>
      </c>
      <c r="B1032" s="12" t="s">
        <v>62</v>
      </c>
      <c r="C1032" s="12" t="s">
        <v>61</v>
      </c>
      <c r="D1032" s="12" t="n">
        <v>17</v>
      </c>
      <c r="E1032" s="12"/>
      <c r="F1032" s="12" t="s">
        <v>132</v>
      </c>
      <c r="G1032" s="12" t="s">
        <v>2014</v>
      </c>
      <c r="H1032" s="12" t="s">
        <v>1255</v>
      </c>
      <c r="I1032" s="12" t="s">
        <v>164</v>
      </c>
      <c r="J1032" s="12" t="s">
        <v>165</v>
      </c>
      <c r="K1032" s="12" t="s">
        <v>16</v>
      </c>
      <c r="L1032" s="12" t="s">
        <v>87</v>
      </c>
      <c r="M1032" s="11" t="s">
        <v>88</v>
      </c>
    </row>
    <row r="1033" customFormat="false" ht="28.35" hidden="false" customHeight="false" outlineLevel="0" collapsed="false">
      <c r="A1033" s="11" t="s">
        <v>2015</v>
      </c>
      <c r="B1033" s="12" t="s">
        <v>62</v>
      </c>
      <c r="C1033" s="12" t="s">
        <v>61</v>
      </c>
      <c r="D1033" s="12" t="n">
        <v>18</v>
      </c>
      <c r="E1033" s="12"/>
      <c r="F1033" s="12" t="s">
        <v>132</v>
      </c>
      <c r="G1033" s="12" t="s">
        <v>2016</v>
      </c>
      <c r="H1033" s="12" t="s">
        <v>1255</v>
      </c>
      <c r="I1033" s="12" t="s">
        <v>164</v>
      </c>
      <c r="J1033" s="12" t="s">
        <v>165</v>
      </c>
      <c r="K1033" s="12" t="s">
        <v>16</v>
      </c>
      <c r="L1033" s="12" t="s">
        <v>87</v>
      </c>
      <c r="M1033" s="11" t="s">
        <v>88</v>
      </c>
    </row>
    <row r="1034" customFormat="false" ht="28.35" hidden="false" customHeight="false" outlineLevel="0" collapsed="false">
      <c r="A1034" s="11" t="s">
        <v>2017</v>
      </c>
      <c r="B1034" s="12" t="s">
        <v>62</v>
      </c>
      <c r="C1034" s="12" t="s">
        <v>61</v>
      </c>
      <c r="D1034" s="12" t="n">
        <v>19</v>
      </c>
      <c r="E1034" s="12"/>
      <c r="F1034" s="12" t="s">
        <v>98</v>
      </c>
      <c r="G1034" s="12" t="s">
        <v>2018</v>
      </c>
      <c r="H1034" s="12" t="s">
        <v>1255</v>
      </c>
      <c r="I1034" s="12" t="s">
        <v>175</v>
      </c>
      <c r="J1034" s="12" t="s">
        <v>176</v>
      </c>
      <c r="K1034" s="12" t="s">
        <v>22</v>
      </c>
      <c r="L1034" s="12" t="s">
        <v>96</v>
      </c>
      <c r="M1034" s="11" t="s">
        <v>88</v>
      </c>
    </row>
    <row r="1035" customFormat="false" ht="28.35" hidden="false" customHeight="false" outlineLevel="0" collapsed="false">
      <c r="A1035" s="11" t="s">
        <v>2019</v>
      </c>
      <c r="B1035" s="12" t="s">
        <v>62</v>
      </c>
      <c r="C1035" s="12" t="s">
        <v>61</v>
      </c>
      <c r="D1035" s="12" t="n">
        <v>20</v>
      </c>
      <c r="E1035" s="12"/>
      <c r="F1035" s="12" t="s">
        <v>132</v>
      </c>
      <c r="G1035" s="12" t="s">
        <v>2020</v>
      </c>
      <c r="H1035" s="12" t="s">
        <v>1255</v>
      </c>
      <c r="I1035" s="12" t="s">
        <v>164</v>
      </c>
      <c r="J1035" s="12" t="s">
        <v>165</v>
      </c>
      <c r="K1035" s="12" t="s">
        <v>16</v>
      </c>
      <c r="L1035" s="12" t="s">
        <v>87</v>
      </c>
      <c r="M1035" s="11" t="s">
        <v>88</v>
      </c>
    </row>
    <row r="1036" customFormat="false" ht="28.35" hidden="false" customHeight="false" outlineLevel="0" collapsed="false">
      <c r="A1036" s="11" t="s">
        <v>2021</v>
      </c>
      <c r="B1036" s="12" t="s">
        <v>62</v>
      </c>
      <c r="C1036" s="12" t="s">
        <v>61</v>
      </c>
      <c r="D1036" s="12" t="n">
        <v>21</v>
      </c>
      <c r="E1036" s="12"/>
      <c r="F1036" s="12" t="s">
        <v>132</v>
      </c>
      <c r="G1036" s="12" t="s">
        <v>2022</v>
      </c>
      <c r="H1036" s="12" t="s">
        <v>1255</v>
      </c>
      <c r="I1036" s="12" t="s">
        <v>164</v>
      </c>
      <c r="J1036" s="12" t="s">
        <v>165</v>
      </c>
      <c r="K1036" s="12" t="s">
        <v>16</v>
      </c>
      <c r="L1036" s="12" t="s">
        <v>87</v>
      </c>
      <c r="M1036" s="11" t="s">
        <v>88</v>
      </c>
    </row>
    <row r="1037" customFormat="false" ht="28.35" hidden="false" customHeight="false" outlineLevel="0" collapsed="false">
      <c r="A1037" s="11" t="s">
        <v>2023</v>
      </c>
      <c r="B1037" s="12" t="s">
        <v>62</v>
      </c>
      <c r="C1037" s="12" t="s">
        <v>61</v>
      </c>
      <c r="D1037" s="12" t="n">
        <v>22</v>
      </c>
      <c r="E1037" s="12"/>
      <c r="F1037" s="12" t="s">
        <v>132</v>
      </c>
      <c r="G1037" s="12" t="s">
        <v>2024</v>
      </c>
      <c r="H1037" s="12" t="s">
        <v>1255</v>
      </c>
      <c r="I1037" s="12" t="s">
        <v>164</v>
      </c>
      <c r="J1037" s="12" t="s">
        <v>165</v>
      </c>
      <c r="K1037" s="12" t="s">
        <v>16</v>
      </c>
      <c r="L1037" s="12" t="s">
        <v>87</v>
      </c>
      <c r="M1037" s="11" t="s">
        <v>88</v>
      </c>
    </row>
    <row r="1038" customFormat="false" ht="28.35" hidden="false" customHeight="false" outlineLevel="0" collapsed="false">
      <c r="A1038" s="11" t="s">
        <v>2025</v>
      </c>
      <c r="B1038" s="12" t="s">
        <v>62</v>
      </c>
      <c r="C1038" s="12" t="s">
        <v>61</v>
      </c>
      <c r="D1038" s="12" t="n">
        <v>23</v>
      </c>
      <c r="E1038" s="12"/>
      <c r="F1038" s="12" t="s">
        <v>132</v>
      </c>
      <c r="G1038" s="12" t="s">
        <v>2026</v>
      </c>
      <c r="H1038" s="12" t="s">
        <v>1255</v>
      </c>
      <c r="I1038" s="12" t="s">
        <v>164</v>
      </c>
      <c r="J1038" s="12" t="s">
        <v>165</v>
      </c>
      <c r="K1038" s="12" t="s">
        <v>16</v>
      </c>
      <c r="L1038" s="12" t="s">
        <v>87</v>
      </c>
      <c r="M1038" s="11" t="s">
        <v>88</v>
      </c>
    </row>
    <row r="1039" customFormat="false" ht="28.35" hidden="false" customHeight="false" outlineLevel="0" collapsed="false">
      <c r="A1039" s="11" t="s">
        <v>2027</v>
      </c>
      <c r="B1039" s="12" t="s">
        <v>62</v>
      </c>
      <c r="C1039" s="12" t="s">
        <v>61</v>
      </c>
      <c r="D1039" s="12" t="n">
        <v>24</v>
      </c>
      <c r="E1039" s="12"/>
      <c r="F1039" s="12" t="s">
        <v>132</v>
      </c>
      <c r="G1039" s="12" t="s">
        <v>2028</v>
      </c>
      <c r="H1039" s="12" t="s">
        <v>1255</v>
      </c>
      <c r="I1039" s="12" t="s">
        <v>164</v>
      </c>
      <c r="J1039" s="12" t="s">
        <v>165</v>
      </c>
      <c r="K1039" s="12" t="s">
        <v>16</v>
      </c>
      <c r="L1039" s="12" t="s">
        <v>87</v>
      </c>
      <c r="M1039" s="11" t="s">
        <v>88</v>
      </c>
    </row>
    <row r="1040" customFormat="false" ht="28.35" hidden="false" customHeight="false" outlineLevel="0" collapsed="false">
      <c r="A1040" s="11" t="s">
        <v>2029</v>
      </c>
      <c r="B1040" s="12" t="s">
        <v>62</v>
      </c>
      <c r="C1040" s="12" t="s">
        <v>61</v>
      </c>
      <c r="D1040" s="12" t="n">
        <v>25</v>
      </c>
      <c r="E1040" s="12"/>
      <c r="F1040" s="12" t="s">
        <v>132</v>
      </c>
      <c r="G1040" s="12" t="s">
        <v>2030</v>
      </c>
      <c r="H1040" s="12" t="s">
        <v>1255</v>
      </c>
      <c r="I1040" s="12" t="s">
        <v>164</v>
      </c>
      <c r="J1040" s="12" t="s">
        <v>165</v>
      </c>
      <c r="K1040" s="12" t="s">
        <v>16</v>
      </c>
      <c r="L1040" s="12" t="s">
        <v>87</v>
      </c>
      <c r="M1040" s="11" t="s">
        <v>88</v>
      </c>
    </row>
    <row r="1041" customFormat="false" ht="28.35" hidden="false" customHeight="false" outlineLevel="0" collapsed="false">
      <c r="A1041" s="11" t="s">
        <v>2031</v>
      </c>
      <c r="B1041" s="12" t="s">
        <v>62</v>
      </c>
      <c r="C1041" s="12" t="s">
        <v>61</v>
      </c>
      <c r="D1041" s="12" t="n">
        <v>26</v>
      </c>
      <c r="E1041" s="12"/>
      <c r="F1041" s="12" t="s">
        <v>132</v>
      </c>
      <c r="G1041" s="12" t="s">
        <v>2032</v>
      </c>
      <c r="H1041" s="12" t="s">
        <v>1255</v>
      </c>
      <c r="I1041" s="12" t="s">
        <v>164</v>
      </c>
      <c r="J1041" s="12" t="s">
        <v>165</v>
      </c>
      <c r="K1041" s="12" t="s">
        <v>16</v>
      </c>
      <c r="L1041" s="12" t="s">
        <v>87</v>
      </c>
      <c r="M1041" s="11" t="s">
        <v>88</v>
      </c>
    </row>
    <row r="1042" customFormat="false" ht="28.35" hidden="false" customHeight="false" outlineLevel="0" collapsed="false">
      <c r="A1042" s="11" t="s">
        <v>2033</v>
      </c>
      <c r="B1042" s="12" t="s">
        <v>62</v>
      </c>
      <c r="C1042" s="12" t="s">
        <v>61</v>
      </c>
      <c r="D1042" s="12" t="n">
        <v>27</v>
      </c>
      <c r="E1042" s="12"/>
      <c r="F1042" s="12" t="s">
        <v>132</v>
      </c>
      <c r="G1042" s="12" t="s">
        <v>2034</v>
      </c>
      <c r="H1042" s="12" t="s">
        <v>1255</v>
      </c>
      <c r="I1042" s="12" t="s">
        <v>164</v>
      </c>
      <c r="J1042" s="12" t="s">
        <v>165</v>
      </c>
      <c r="K1042" s="12" t="s">
        <v>16</v>
      </c>
      <c r="L1042" s="12" t="s">
        <v>87</v>
      </c>
      <c r="M1042" s="11" t="s">
        <v>88</v>
      </c>
    </row>
    <row r="1043" customFormat="false" ht="28.35" hidden="false" customHeight="false" outlineLevel="0" collapsed="false">
      <c r="A1043" s="11" t="s">
        <v>2035</v>
      </c>
      <c r="B1043" s="12" t="s">
        <v>62</v>
      </c>
      <c r="C1043" s="12" t="s">
        <v>61</v>
      </c>
      <c r="D1043" s="12" t="n">
        <v>28</v>
      </c>
      <c r="E1043" s="12"/>
      <c r="F1043" s="12" t="s">
        <v>132</v>
      </c>
      <c r="G1043" s="12" t="s">
        <v>2036</v>
      </c>
      <c r="H1043" s="12" t="s">
        <v>1255</v>
      </c>
      <c r="I1043" s="12" t="s">
        <v>164</v>
      </c>
      <c r="J1043" s="12" t="s">
        <v>165</v>
      </c>
      <c r="K1043" s="12" t="s">
        <v>16</v>
      </c>
      <c r="L1043" s="12" t="s">
        <v>87</v>
      </c>
      <c r="M1043" s="11" t="s">
        <v>88</v>
      </c>
    </row>
    <row r="1044" customFormat="false" ht="28.35" hidden="false" customHeight="false" outlineLevel="0" collapsed="false">
      <c r="A1044" s="11" t="s">
        <v>2037</v>
      </c>
      <c r="B1044" s="12" t="s">
        <v>62</v>
      </c>
      <c r="C1044" s="12" t="s">
        <v>61</v>
      </c>
      <c r="D1044" s="12" t="n">
        <v>29</v>
      </c>
      <c r="E1044" s="12"/>
      <c r="F1044" s="12" t="s">
        <v>132</v>
      </c>
      <c r="G1044" s="12" t="s">
        <v>2038</v>
      </c>
      <c r="H1044" s="12" t="s">
        <v>1255</v>
      </c>
      <c r="I1044" s="12" t="s">
        <v>164</v>
      </c>
      <c r="J1044" s="12" t="s">
        <v>165</v>
      </c>
      <c r="K1044" s="12" t="s">
        <v>16</v>
      </c>
      <c r="L1044" s="12" t="s">
        <v>87</v>
      </c>
      <c r="M1044" s="11" t="s">
        <v>88</v>
      </c>
    </row>
    <row r="1045" customFormat="false" ht="28.35" hidden="false" customHeight="false" outlineLevel="0" collapsed="false">
      <c r="A1045" s="11" t="s">
        <v>2039</v>
      </c>
      <c r="B1045" s="12" t="s">
        <v>62</v>
      </c>
      <c r="C1045" s="12" t="s">
        <v>61</v>
      </c>
      <c r="D1045" s="12" t="n">
        <v>30</v>
      </c>
      <c r="E1045" s="12"/>
      <c r="F1045" s="12" t="s">
        <v>132</v>
      </c>
      <c r="G1045" s="12" t="s">
        <v>2040</v>
      </c>
      <c r="H1045" s="12" t="s">
        <v>1255</v>
      </c>
      <c r="I1045" s="12" t="s">
        <v>411</v>
      </c>
      <c r="J1045" s="12" t="s">
        <v>412</v>
      </c>
      <c r="K1045" s="12" t="s">
        <v>413</v>
      </c>
      <c r="L1045" s="12" t="s">
        <v>87</v>
      </c>
      <c r="M1045" s="11" t="s">
        <v>88</v>
      </c>
    </row>
    <row r="1046" customFormat="false" ht="28.35" hidden="false" customHeight="false" outlineLevel="0" collapsed="false">
      <c r="A1046" s="11" t="s">
        <v>2041</v>
      </c>
      <c r="B1046" s="12" t="s">
        <v>62</v>
      </c>
      <c r="C1046" s="12" t="s">
        <v>61</v>
      </c>
      <c r="D1046" s="12" t="n">
        <v>31</v>
      </c>
      <c r="E1046" s="12"/>
      <c r="F1046" s="12" t="s">
        <v>132</v>
      </c>
      <c r="G1046" s="12" t="s">
        <v>2042</v>
      </c>
      <c r="H1046" s="12" t="s">
        <v>1255</v>
      </c>
      <c r="I1046" s="12" t="s">
        <v>164</v>
      </c>
      <c r="J1046" s="12" t="s">
        <v>165</v>
      </c>
      <c r="K1046" s="12" t="s">
        <v>16</v>
      </c>
      <c r="L1046" s="12" t="s">
        <v>87</v>
      </c>
      <c r="M1046" s="11" t="s">
        <v>88</v>
      </c>
    </row>
    <row r="1047" customFormat="false" ht="28.35" hidden="false" customHeight="false" outlineLevel="0" collapsed="false">
      <c r="A1047" s="11" t="s">
        <v>2043</v>
      </c>
      <c r="B1047" s="12" t="s">
        <v>62</v>
      </c>
      <c r="C1047" s="12" t="s">
        <v>61</v>
      </c>
      <c r="D1047" s="12" t="n">
        <v>32</v>
      </c>
      <c r="E1047" s="12"/>
      <c r="F1047" s="12" t="s">
        <v>98</v>
      </c>
      <c r="G1047" s="12" t="s">
        <v>2044</v>
      </c>
      <c r="H1047" s="12" t="s">
        <v>1255</v>
      </c>
      <c r="I1047" s="12" t="s">
        <v>175</v>
      </c>
      <c r="J1047" s="12" t="s">
        <v>176</v>
      </c>
      <c r="K1047" s="12" t="s">
        <v>22</v>
      </c>
      <c r="L1047" s="12" t="s">
        <v>96</v>
      </c>
      <c r="M1047" s="11" t="s">
        <v>88</v>
      </c>
    </row>
    <row r="1048" customFormat="false" ht="28.35" hidden="false" customHeight="false" outlineLevel="0" collapsed="false">
      <c r="A1048" s="11" t="s">
        <v>2045</v>
      </c>
      <c r="B1048" s="12" t="s">
        <v>64</v>
      </c>
      <c r="C1048" s="12" t="s">
        <v>63</v>
      </c>
      <c r="D1048" s="12" t="n">
        <v>1</v>
      </c>
      <c r="E1048" s="12" t="s">
        <v>2046</v>
      </c>
      <c r="F1048" s="12" t="s">
        <v>82</v>
      </c>
      <c r="G1048" s="12" t="s">
        <v>2046</v>
      </c>
      <c r="H1048" s="12" t="s">
        <v>2047</v>
      </c>
      <c r="I1048" s="12" t="s">
        <v>158</v>
      </c>
      <c r="J1048" s="12" t="s">
        <v>159</v>
      </c>
      <c r="K1048" s="12" t="s">
        <v>19</v>
      </c>
      <c r="L1048" s="12" t="s">
        <v>87</v>
      </c>
      <c r="M1048" s="11" t="s">
        <v>88</v>
      </c>
    </row>
    <row r="1049" customFormat="false" ht="28.35" hidden="false" customHeight="false" outlineLevel="0" collapsed="false">
      <c r="A1049" s="11" t="s">
        <v>2048</v>
      </c>
      <c r="B1049" s="12" t="s">
        <v>64</v>
      </c>
      <c r="C1049" s="12" t="s">
        <v>63</v>
      </c>
      <c r="D1049" s="12" t="n">
        <v>2</v>
      </c>
      <c r="E1049" s="12" t="s">
        <v>2049</v>
      </c>
      <c r="F1049" s="12" t="s">
        <v>82</v>
      </c>
      <c r="G1049" s="12" t="s">
        <v>2049</v>
      </c>
      <c r="H1049" s="12" t="s">
        <v>2047</v>
      </c>
      <c r="I1049" s="12" t="s">
        <v>158</v>
      </c>
      <c r="J1049" s="12" t="s">
        <v>159</v>
      </c>
      <c r="K1049" s="12" t="s">
        <v>19</v>
      </c>
      <c r="L1049" s="12" t="s">
        <v>87</v>
      </c>
      <c r="M1049" s="11" t="s">
        <v>88</v>
      </c>
    </row>
    <row r="1050" customFormat="false" ht="28.35" hidden="false" customHeight="false" outlineLevel="0" collapsed="false">
      <c r="A1050" s="11" t="s">
        <v>2050</v>
      </c>
      <c r="B1050" s="12" t="s">
        <v>64</v>
      </c>
      <c r="C1050" s="12" t="s">
        <v>63</v>
      </c>
      <c r="D1050" s="12" t="n">
        <v>3</v>
      </c>
      <c r="E1050" s="12" t="s">
        <v>2051</v>
      </c>
      <c r="F1050" s="12" t="s">
        <v>82</v>
      </c>
      <c r="G1050" s="12" t="s">
        <v>2051</v>
      </c>
      <c r="H1050" s="12" t="s">
        <v>2047</v>
      </c>
      <c r="I1050" s="12" t="s">
        <v>158</v>
      </c>
      <c r="J1050" s="12" t="s">
        <v>159</v>
      </c>
      <c r="K1050" s="12" t="s">
        <v>19</v>
      </c>
      <c r="L1050" s="12" t="s">
        <v>87</v>
      </c>
      <c r="M1050" s="11" t="s">
        <v>88</v>
      </c>
    </row>
    <row r="1051" customFormat="false" ht="28.35" hidden="false" customHeight="false" outlineLevel="0" collapsed="false">
      <c r="A1051" s="11" t="s">
        <v>2052</v>
      </c>
      <c r="B1051" s="12" t="s">
        <v>64</v>
      </c>
      <c r="C1051" s="12" t="s">
        <v>63</v>
      </c>
      <c r="D1051" s="12" t="n">
        <v>4</v>
      </c>
      <c r="E1051" s="12" t="s">
        <v>2051</v>
      </c>
      <c r="F1051" s="12" t="s">
        <v>132</v>
      </c>
      <c r="G1051" s="12" t="s">
        <v>2053</v>
      </c>
      <c r="H1051" s="12" t="s">
        <v>2047</v>
      </c>
      <c r="I1051" s="12" t="s">
        <v>164</v>
      </c>
      <c r="J1051" s="12" t="s">
        <v>165</v>
      </c>
      <c r="K1051" s="12" t="s">
        <v>16</v>
      </c>
      <c r="L1051" s="12" t="s">
        <v>87</v>
      </c>
      <c r="M1051" s="11" t="s">
        <v>88</v>
      </c>
    </row>
    <row r="1052" customFormat="false" ht="28.35" hidden="false" customHeight="false" outlineLevel="0" collapsed="false">
      <c r="A1052" s="11" t="s">
        <v>2054</v>
      </c>
      <c r="B1052" s="12" t="s">
        <v>64</v>
      </c>
      <c r="C1052" s="12" t="s">
        <v>63</v>
      </c>
      <c r="D1052" s="12" t="n">
        <v>5</v>
      </c>
      <c r="E1052" s="12" t="s">
        <v>2051</v>
      </c>
      <c r="F1052" s="12" t="s">
        <v>132</v>
      </c>
      <c r="G1052" s="12" t="s">
        <v>2055</v>
      </c>
      <c r="H1052" s="12" t="s">
        <v>2047</v>
      </c>
      <c r="I1052" s="12" t="s">
        <v>354</v>
      </c>
      <c r="J1052" s="12" t="s">
        <v>355</v>
      </c>
      <c r="K1052" s="12" t="s">
        <v>25</v>
      </c>
      <c r="L1052" s="12" t="s">
        <v>96</v>
      </c>
      <c r="M1052" s="11" t="s">
        <v>170</v>
      </c>
    </row>
    <row r="1053" customFormat="false" ht="28.35" hidden="false" customHeight="false" outlineLevel="0" collapsed="false">
      <c r="A1053" s="11" t="s">
        <v>2056</v>
      </c>
      <c r="B1053" s="12" t="s">
        <v>64</v>
      </c>
      <c r="C1053" s="12" t="s">
        <v>63</v>
      </c>
      <c r="D1053" s="12" t="n">
        <v>6</v>
      </c>
      <c r="E1053" s="12" t="s">
        <v>2051</v>
      </c>
      <c r="F1053" s="12" t="s">
        <v>132</v>
      </c>
      <c r="G1053" s="12" t="s">
        <v>2057</v>
      </c>
      <c r="H1053" s="12" t="s">
        <v>2047</v>
      </c>
      <c r="I1053" s="12" t="s">
        <v>164</v>
      </c>
      <c r="J1053" s="12" t="s">
        <v>165</v>
      </c>
      <c r="K1053" s="12" t="s">
        <v>16</v>
      </c>
      <c r="L1053" s="12" t="s">
        <v>87</v>
      </c>
      <c r="M1053" s="11" t="s">
        <v>88</v>
      </c>
    </row>
    <row r="1054" customFormat="false" ht="28.35" hidden="false" customHeight="false" outlineLevel="0" collapsed="false">
      <c r="A1054" s="11" t="s">
        <v>2058</v>
      </c>
      <c r="B1054" s="12" t="s">
        <v>64</v>
      </c>
      <c r="C1054" s="12" t="s">
        <v>63</v>
      </c>
      <c r="D1054" s="12" t="n">
        <v>7</v>
      </c>
      <c r="E1054" s="12" t="s">
        <v>2051</v>
      </c>
      <c r="F1054" s="12" t="s">
        <v>132</v>
      </c>
      <c r="G1054" s="12" t="s">
        <v>2059</v>
      </c>
      <c r="H1054" s="12" t="s">
        <v>2047</v>
      </c>
      <c r="I1054" s="12" t="s">
        <v>164</v>
      </c>
      <c r="J1054" s="12" t="s">
        <v>165</v>
      </c>
      <c r="K1054" s="12" t="s">
        <v>16</v>
      </c>
      <c r="L1054" s="12" t="s">
        <v>87</v>
      </c>
      <c r="M1054" s="11" t="s">
        <v>88</v>
      </c>
    </row>
    <row r="1055" customFormat="false" ht="28.35" hidden="false" customHeight="false" outlineLevel="0" collapsed="false">
      <c r="A1055" s="11" t="s">
        <v>2060</v>
      </c>
      <c r="B1055" s="12" t="s">
        <v>64</v>
      </c>
      <c r="C1055" s="12" t="s">
        <v>63</v>
      </c>
      <c r="D1055" s="12" t="n">
        <v>8</v>
      </c>
      <c r="E1055" s="12" t="s">
        <v>2051</v>
      </c>
      <c r="F1055" s="12" t="s">
        <v>132</v>
      </c>
      <c r="G1055" s="12" t="s">
        <v>2061</v>
      </c>
      <c r="H1055" s="12" t="s">
        <v>2047</v>
      </c>
      <c r="I1055" s="12" t="s">
        <v>164</v>
      </c>
      <c r="J1055" s="12" t="s">
        <v>165</v>
      </c>
      <c r="K1055" s="12" t="s">
        <v>16</v>
      </c>
      <c r="L1055" s="12" t="s">
        <v>87</v>
      </c>
      <c r="M1055" s="11" t="s">
        <v>88</v>
      </c>
    </row>
    <row r="1056" customFormat="false" ht="28.35" hidden="false" customHeight="false" outlineLevel="0" collapsed="false">
      <c r="A1056" s="11" t="s">
        <v>2062</v>
      </c>
      <c r="B1056" s="12" t="s">
        <v>64</v>
      </c>
      <c r="C1056" s="12" t="s">
        <v>63</v>
      </c>
      <c r="D1056" s="12" t="n">
        <v>9</v>
      </c>
      <c r="E1056" s="12" t="s">
        <v>2063</v>
      </c>
      <c r="F1056" s="12" t="s">
        <v>82</v>
      </c>
      <c r="G1056" s="12" t="s">
        <v>2063</v>
      </c>
      <c r="H1056" s="12" t="s">
        <v>2047</v>
      </c>
      <c r="I1056" s="12" t="s">
        <v>158</v>
      </c>
      <c r="J1056" s="12" t="s">
        <v>159</v>
      </c>
      <c r="K1056" s="12" t="s">
        <v>19</v>
      </c>
      <c r="L1056" s="12" t="s">
        <v>87</v>
      </c>
      <c r="M1056" s="11" t="s">
        <v>88</v>
      </c>
    </row>
    <row r="1057" customFormat="false" ht="41.75" hidden="false" customHeight="false" outlineLevel="0" collapsed="false">
      <c r="A1057" s="11" t="s">
        <v>2064</v>
      </c>
      <c r="B1057" s="12" t="s">
        <v>64</v>
      </c>
      <c r="C1057" s="12" t="s">
        <v>63</v>
      </c>
      <c r="D1057" s="12" t="n">
        <v>10</v>
      </c>
      <c r="E1057" s="12" t="s">
        <v>2063</v>
      </c>
      <c r="F1057" s="12" t="s">
        <v>132</v>
      </c>
      <c r="G1057" s="12" t="s">
        <v>2065</v>
      </c>
      <c r="H1057" s="12" t="s">
        <v>2047</v>
      </c>
      <c r="I1057" s="12" t="s">
        <v>354</v>
      </c>
      <c r="J1057" s="12" t="s">
        <v>355</v>
      </c>
      <c r="K1057" s="12" t="s">
        <v>25</v>
      </c>
      <c r="L1057" s="12" t="s">
        <v>96</v>
      </c>
      <c r="M1057" s="11" t="s">
        <v>170</v>
      </c>
    </row>
    <row r="1058" customFormat="false" ht="55.2" hidden="false" customHeight="false" outlineLevel="0" collapsed="false">
      <c r="A1058" s="11" t="s">
        <v>2066</v>
      </c>
      <c r="B1058" s="12" t="s">
        <v>64</v>
      </c>
      <c r="C1058" s="12" t="s">
        <v>63</v>
      </c>
      <c r="D1058" s="12" t="n">
        <v>11</v>
      </c>
      <c r="E1058" s="12" t="s">
        <v>2063</v>
      </c>
      <c r="F1058" s="12" t="s">
        <v>132</v>
      </c>
      <c r="G1058" s="12" t="s">
        <v>2067</v>
      </c>
      <c r="H1058" s="12" t="s">
        <v>2047</v>
      </c>
      <c r="I1058" s="12" t="s">
        <v>168</v>
      </c>
      <c r="J1058" s="12" t="s">
        <v>169</v>
      </c>
      <c r="K1058" s="12" t="s">
        <v>31</v>
      </c>
      <c r="L1058" s="12" t="s">
        <v>96</v>
      </c>
      <c r="M1058" s="11" t="s">
        <v>170</v>
      </c>
    </row>
    <row r="1059" customFormat="false" ht="28.35" hidden="false" customHeight="false" outlineLevel="0" collapsed="false">
      <c r="A1059" s="11" t="s">
        <v>2068</v>
      </c>
      <c r="B1059" s="12" t="s">
        <v>64</v>
      </c>
      <c r="C1059" s="12" t="s">
        <v>63</v>
      </c>
      <c r="D1059" s="12" t="n">
        <v>12</v>
      </c>
      <c r="E1059" s="12" t="s">
        <v>2063</v>
      </c>
      <c r="F1059" s="12" t="s">
        <v>132</v>
      </c>
      <c r="G1059" s="12" t="s">
        <v>2069</v>
      </c>
      <c r="H1059" s="12" t="s">
        <v>2047</v>
      </c>
      <c r="I1059" s="12" t="s">
        <v>164</v>
      </c>
      <c r="J1059" s="12" t="s">
        <v>165</v>
      </c>
      <c r="K1059" s="12" t="s">
        <v>16</v>
      </c>
      <c r="L1059" s="12" t="s">
        <v>87</v>
      </c>
      <c r="M1059" s="11" t="s">
        <v>88</v>
      </c>
    </row>
    <row r="1060" customFormat="false" ht="28.35" hidden="false" customHeight="false" outlineLevel="0" collapsed="false">
      <c r="A1060" s="11" t="s">
        <v>2070</v>
      </c>
      <c r="B1060" s="12" t="s">
        <v>64</v>
      </c>
      <c r="C1060" s="12" t="s">
        <v>63</v>
      </c>
      <c r="D1060" s="12" t="n">
        <v>13</v>
      </c>
      <c r="E1060" s="12" t="s">
        <v>2063</v>
      </c>
      <c r="F1060" s="12" t="s">
        <v>132</v>
      </c>
      <c r="G1060" s="12" t="s">
        <v>2071</v>
      </c>
      <c r="H1060" s="12" t="s">
        <v>2047</v>
      </c>
      <c r="I1060" s="12" t="s">
        <v>164</v>
      </c>
      <c r="J1060" s="12" t="s">
        <v>165</v>
      </c>
      <c r="K1060" s="12" t="s">
        <v>16</v>
      </c>
      <c r="L1060" s="12" t="s">
        <v>87</v>
      </c>
      <c r="M1060" s="11" t="s">
        <v>88</v>
      </c>
    </row>
    <row r="1061" customFormat="false" ht="28.35" hidden="false" customHeight="false" outlineLevel="0" collapsed="false">
      <c r="A1061" s="11" t="s">
        <v>2072</v>
      </c>
      <c r="B1061" s="12" t="s">
        <v>64</v>
      </c>
      <c r="C1061" s="12" t="s">
        <v>63</v>
      </c>
      <c r="D1061" s="12" t="n">
        <v>14</v>
      </c>
      <c r="E1061" s="12" t="s">
        <v>2073</v>
      </c>
      <c r="F1061" s="12" t="s">
        <v>82</v>
      </c>
      <c r="G1061" s="12" t="s">
        <v>2073</v>
      </c>
      <c r="H1061" s="12" t="s">
        <v>2047</v>
      </c>
      <c r="I1061" s="12" t="s">
        <v>158</v>
      </c>
      <c r="J1061" s="12" t="s">
        <v>159</v>
      </c>
      <c r="K1061" s="12" t="s">
        <v>19</v>
      </c>
      <c r="L1061" s="12" t="s">
        <v>87</v>
      </c>
      <c r="M1061" s="11" t="s">
        <v>88</v>
      </c>
    </row>
    <row r="1062" customFormat="false" ht="41.75" hidden="false" customHeight="false" outlineLevel="0" collapsed="false">
      <c r="A1062" s="11" t="s">
        <v>2074</v>
      </c>
      <c r="B1062" s="12" t="s">
        <v>64</v>
      </c>
      <c r="C1062" s="12" t="s">
        <v>63</v>
      </c>
      <c r="D1062" s="12" t="n">
        <v>15</v>
      </c>
      <c r="E1062" s="12" t="s">
        <v>2073</v>
      </c>
      <c r="F1062" s="12" t="s">
        <v>132</v>
      </c>
      <c r="G1062" s="12" t="s">
        <v>2075</v>
      </c>
      <c r="H1062" s="12" t="s">
        <v>2047</v>
      </c>
      <c r="I1062" s="12" t="s">
        <v>354</v>
      </c>
      <c r="J1062" s="12" t="s">
        <v>355</v>
      </c>
      <c r="K1062" s="12" t="s">
        <v>25</v>
      </c>
      <c r="L1062" s="12" t="s">
        <v>96</v>
      </c>
      <c r="M1062" s="11" t="s">
        <v>170</v>
      </c>
    </row>
    <row r="1063" customFormat="false" ht="28.35" hidden="false" customHeight="false" outlineLevel="0" collapsed="false">
      <c r="A1063" s="11" t="s">
        <v>2076</v>
      </c>
      <c r="B1063" s="12" t="s">
        <v>64</v>
      </c>
      <c r="C1063" s="12" t="s">
        <v>63</v>
      </c>
      <c r="D1063" s="12" t="n">
        <v>16</v>
      </c>
      <c r="E1063" s="12" t="s">
        <v>2073</v>
      </c>
      <c r="F1063" s="12" t="s">
        <v>98</v>
      </c>
      <c r="G1063" s="12" t="s">
        <v>2077</v>
      </c>
      <c r="H1063" s="12" t="s">
        <v>2047</v>
      </c>
      <c r="I1063" s="12" t="s">
        <v>175</v>
      </c>
      <c r="J1063" s="12" t="s">
        <v>176</v>
      </c>
      <c r="K1063" s="12" t="s">
        <v>22</v>
      </c>
      <c r="L1063" s="12" t="s">
        <v>96</v>
      </c>
      <c r="M1063" s="11" t="s">
        <v>88</v>
      </c>
    </row>
    <row r="1064" customFormat="false" ht="28.35" hidden="false" customHeight="false" outlineLevel="0" collapsed="false">
      <c r="A1064" s="11" t="s">
        <v>2078</v>
      </c>
      <c r="B1064" s="12" t="s">
        <v>64</v>
      </c>
      <c r="C1064" s="12" t="s">
        <v>63</v>
      </c>
      <c r="D1064" s="12" t="n">
        <v>17</v>
      </c>
      <c r="E1064" s="12" t="s">
        <v>2073</v>
      </c>
      <c r="F1064" s="12" t="s">
        <v>98</v>
      </c>
      <c r="G1064" s="12" t="s">
        <v>2079</v>
      </c>
      <c r="H1064" s="12" t="s">
        <v>2047</v>
      </c>
      <c r="I1064" s="12" t="s">
        <v>84</v>
      </c>
      <c r="J1064" s="12" t="s">
        <v>85</v>
      </c>
      <c r="K1064" s="12" t="s">
        <v>86</v>
      </c>
      <c r="L1064" s="12" t="s">
        <v>87</v>
      </c>
      <c r="M1064" s="11" t="s">
        <v>88</v>
      </c>
    </row>
    <row r="1065" customFormat="false" ht="28.35" hidden="false" customHeight="false" outlineLevel="0" collapsed="false">
      <c r="A1065" s="11" t="s">
        <v>2080</v>
      </c>
      <c r="B1065" s="12" t="s">
        <v>64</v>
      </c>
      <c r="C1065" s="12" t="s">
        <v>63</v>
      </c>
      <c r="D1065" s="12" t="n">
        <v>18</v>
      </c>
      <c r="E1065" s="12" t="s">
        <v>2073</v>
      </c>
      <c r="F1065" s="12" t="s">
        <v>98</v>
      </c>
      <c r="G1065" s="12" t="s">
        <v>246</v>
      </c>
      <c r="H1065" s="12" t="s">
        <v>2047</v>
      </c>
      <c r="I1065" s="12" t="s">
        <v>175</v>
      </c>
      <c r="J1065" s="12" t="s">
        <v>176</v>
      </c>
      <c r="K1065" s="12" t="s">
        <v>22</v>
      </c>
      <c r="L1065" s="12" t="s">
        <v>96</v>
      </c>
      <c r="M1065" s="11" t="s">
        <v>88</v>
      </c>
    </row>
    <row r="1066" customFormat="false" ht="28.35" hidden="false" customHeight="false" outlineLevel="0" collapsed="false">
      <c r="A1066" s="11" t="s">
        <v>2081</v>
      </c>
      <c r="B1066" s="12" t="s">
        <v>64</v>
      </c>
      <c r="C1066" s="12" t="s">
        <v>63</v>
      </c>
      <c r="D1066" s="12" t="n">
        <v>19</v>
      </c>
      <c r="E1066" s="12" t="s">
        <v>2073</v>
      </c>
      <c r="F1066" s="12" t="s">
        <v>98</v>
      </c>
      <c r="G1066" s="12" t="s">
        <v>248</v>
      </c>
      <c r="H1066" s="12" t="s">
        <v>2047</v>
      </c>
      <c r="I1066" s="12" t="s">
        <v>175</v>
      </c>
      <c r="J1066" s="12" t="s">
        <v>176</v>
      </c>
      <c r="K1066" s="12" t="s">
        <v>22</v>
      </c>
      <c r="L1066" s="12" t="s">
        <v>96</v>
      </c>
      <c r="M1066" s="11" t="s">
        <v>88</v>
      </c>
    </row>
    <row r="1067" customFormat="false" ht="28.35" hidden="false" customHeight="false" outlineLevel="0" collapsed="false">
      <c r="A1067" s="11" t="s">
        <v>2082</v>
      </c>
      <c r="B1067" s="12" t="s">
        <v>64</v>
      </c>
      <c r="C1067" s="12" t="s">
        <v>63</v>
      </c>
      <c r="D1067" s="12" t="n">
        <v>20</v>
      </c>
      <c r="E1067" s="12" t="s">
        <v>2073</v>
      </c>
      <c r="F1067" s="12" t="s">
        <v>98</v>
      </c>
      <c r="G1067" s="12" t="s">
        <v>2083</v>
      </c>
      <c r="H1067" s="12" t="s">
        <v>2047</v>
      </c>
      <c r="I1067" s="12" t="s">
        <v>175</v>
      </c>
      <c r="J1067" s="12" t="s">
        <v>176</v>
      </c>
      <c r="K1067" s="12" t="s">
        <v>22</v>
      </c>
      <c r="L1067" s="12" t="s">
        <v>96</v>
      </c>
      <c r="M1067" s="11" t="s">
        <v>88</v>
      </c>
    </row>
    <row r="1068" customFormat="false" ht="28.35" hidden="false" customHeight="false" outlineLevel="0" collapsed="false">
      <c r="A1068" s="11" t="s">
        <v>2084</v>
      </c>
      <c r="B1068" s="12" t="s">
        <v>64</v>
      </c>
      <c r="C1068" s="12" t="s">
        <v>63</v>
      </c>
      <c r="D1068" s="12" t="n">
        <v>21</v>
      </c>
      <c r="E1068" s="12" t="s">
        <v>2073</v>
      </c>
      <c r="F1068" s="12" t="s">
        <v>98</v>
      </c>
      <c r="G1068" s="12" t="s">
        <v>252</v>
      </c>
      <c r="H1068" s="12" t="s">
        <v>2047</v>
      </c>
      <c r="I1068" s="12" t="s">
        <v>175</v>
      </c>
      <c r="J1068" s="12" t="s">
        <v>176</v>
      </c>
      <c r="K1068" s="12" t="s">
        <v>22</v>
      </c>
      <c r="L1068" s="12" t="s">
        <v>96</v>
      </c>
      <c r="M1068" s="11" t="s">
        <v>88</v>
      </c>
    </row>
    <row r="1069" customFormat="false" ht="28.35" hidden="false" customHeight="false" outlineLevel="0" collapsed="false">
      <c r="A1069" s="11" t="s">
        <v>2085</v>
      </c>
      <c r="B1069" s="12" t="s">
        <v>64</v>
      </c>
      <c r="C1069" s="12" t="s">
        <v>63</v>
      </c>
      <c r="D1069" s="12" t="n">
        <v>22</v>
      </c>
      <c r="E1069" s="12" t="s">
        <v>2073</v>
      </c>
      <c r="F1069" s="12" t="s">
        <v>132</v>
      </c>
      <c r="G1069" s="12" t="s">
        <v>2086</v>
      </c>
      <c r="H1069" s="12" t="s">
        <v>2047</v>
      </c>
      <c r="I1069" s="12" t="s">
        <v>164</v>
      </c>
      <c r="J1069" s="12" t="s">
        <v>165</v>
      </c>
      <c r="K1069" s="12" t="s">
        <v>16</v>
      </c>
      <c r="L1069" s="12" t="s">
        <v>87</v>
      </c>
      <c r="M1069" s="11" t="s">
        <v>88</v>
      </c>
    </row>
    <row r="1070" customFormat="false" ht="28.35" hidden="false" customHeight="false" outlineLevel="0" collapsed="false">
      <c r="A1070" s="11" t="s">
        <v>2087</v>
      </c>
      <c r="B1070" s="12" t="s">
        <v>64</v>
      </c>
      <c r="C1070" s="12" t="s">
        <v>63</v>
      </c>
      <c r="D1070" s="12" t="n">
        <v>23</v>
      </c>
      <c r="E1070" s="12" t="s">
        <v>2088</v>
      </c>
      <c r="F1070" s="12" t="s">
        <v>82</v>
      </c>
      <c r="G1070" s="12" t="s">
        <v>2088</v>
      </c>
      <c r="H1070" s="12" t="s">
        <v>2047</v>
      </c>
      <c r="I1070" s="12" t="s">
        <v>158</v>
      </c>
      <c r="J1070" s="12" t="s">
        <v>159</v>
      </c>
      <c r="K1070" s="12" t="s">
        <v>19</v>
      </c>
      <c r="L1070" s="12" t="s">
        <v>87</v>
      </c>
      <c r="M1070" s="11" t="s">
        <v>88</v>
      </c>
    </row>
    <row r="1071" customFormat="false" ht="28.35" hidden="false" customHeight="false" outlineLevel="0" collapsed="false">
      <c r="A1071" s="11" t="s">
        <v>2089</v>
      </c>
      <c r="B1071" s="12" t="s">
        <v>64</v>
      </c>
      <c r="C1071" s="12" t="s">
        <v>63</v>
      </c>
      <c r="D1071" s="12" t="n">
        <v>24</v>
      </c>
      <c r="E1071" s="12" t="s">
        <v>2088</v>
      </c>
      <c r="F1071" s="12" t="s">
        <v>132</v>
      </c>
      <c r="G1071" s="12" t="s">
        <v>2090</v>
      </c>
      <c r="H1071" s="12" t="s">
        <v>2047</v>
      </c>
      <c r="I1071" s="12" t="s">
        <v>164</v>
      </c>
      <c r="J1071" s="12" t="s">
        <v>165</v>
      </c>
      <c r="K1071" s="12" t="s">
        <v>16</v>
      </c>
      <c r="L1071" s="12" t="s">
        <v>87</v>
      </c>
      <c r="M1071" s="11" t="s">
        <v>88</v>
      </c>
    </row>
    <row r="1072" customFormat="false" ht="28.35" hidden="false" customHeight="false" outlineLevel="0" collapsed="false">
      <c r="A1072" s="11" t="s">
        <v>2091</v>
      </c>
      <c r="B1072" s="12" t="s">
        <v>64</v>
      </c>
      <c r="C1072" s="12" t="s">
        <v>63</v>
      </c>
      <c r="D1072" s="12" t="n">
        <v>25</v>
      </c>
      <c r="E1072" s="12" t="s">
        <v>2088</v>
      </c>
      <c r="F1072" s="12" t="s">
        <v>132</v>
      </c>
      <c r="G1072" s="12" t="s">
        <v>2092</v>
      </c>
      <c r="H1072" s="12" t="s">
        <v>2047</v>
      </c>
      <c r="I1072" s="12" t="s">
        <v>164</v>
      </c>
      <c r="J1072" s="12" t="s">
        <v>165</v>
      </c>
      <c r="K1072" s="12" t="s">
        <v>16</v>
      </c>
      <c r="L1072" s="12" t="s">
        <v>87</v>
      </c>
      <c r="M1072" s="11" t="s">
        <v>88</v>
      </c>
    </row>
    <row r="1073" customFormat="false" ht="28.35" hidden="false" customHeight="false" outlineLevel="0" collapsed="false">
      <c r="A1073" s="11" t="s">
        <v>2093</v>
      </c>
      <c r="B1073" s="12" t="s">
        <v>64</v>
      </c>
      <c r="C1073" s="12" t="s">
        <v>63</v>
      </c>
      <c r="D1073" s="12" t="n">
        <v>26</v>
      </c>
      <c r="E1073" s="12" t="s">
        <v>2088</v>
      </c>
      <c r="F1073" s="12" t="s">
        <v>132</v>
      </c>
      <c r="G1073" s="12" t="s">
        <v>2094</v>
      </c>
      <c r="H1073" s="12" t="s">
        <v>2047</v>
      </c>
      <c r="I1073" s="12" t="s">
        <v>164</v>
      </c>
      <c r="J1073" s="12" t="s">
        <v>165</v>
      </c>
      <c r="K1073" s="12" t="s">
        <v>16</v>
      </c>
      <c r="L1073" s="12" t="s">
        <v>87</v>
      </c>
      <c r="M1073" s="11" t="s">
        <v>88</v>
      </c>
    </row>
    <row r="1074" customFormat="false" ht="28.35" hidden="false" customHeight="false" outlineLevel="0" collapsed="false">
      <c r="A1074" s="11" t="s">
        <v>2095</v>
      </c>
      <c r="B1074" s="12" t="s">
        <v>64</v>
      </c>
      <c r="C1074" s="12" t="s">
        <v>63</v>
      </c>
      <c r="D1074" s="12" t="n">
        <v>27</v>
      </c>
      <c r="E1074" s="12" t="s">
        <v>2088</v>
      </c>
      <c r="F1074" s="12" t="s">
        <v>132</v>
      </c>
      <c r="G1074" s="12" t="s">
        <v>2096</v>
      </c>
      <c r="H1074" s="12" t="s">
        <v>2047</v>
      </c>
      <c r="I1074" s="12" t="s">
        <v>164</v>
      </c>
      <c r="J1074" s="12" t="s">
        <v>165</v>
      </c>
      <c r="K1074" s="12" t="s">
        <v>16</v>
      </c>
      <c r="L1074" s="12" t="s">
        <v>87</v>
      </c>
      <c r="M1074" s="11" t="s">
        <v>88</v>
      </c>
    </row>
    <row r="1075" customFormat="false" ht="28.35" hidden="false" customHeight="false" outlineLevel="0" collapsed="false">
      <c r="A1075" s="11" t="s">
        <v>2097</v>
      </c>
      <c r="B1075" s="12" t="s">
        <v>64</v>
      </c>
      <c r="C1075" s="12" t="s">
        <v>63</v>
      </c>
      <c r="D1075" s="12" t="n">
        <v>28</v>
      </c>
      <c r="E1075" s="12" t="s">
        <v>2088</v>
      </c>
      <c r="F1075" s="12" t="s">
        <v>132</v>
      </c>
      <c r="G1075" s="12" t="s">
        <v>2098</v>
      </c>
      <c r="H1075" s="12" t="s">
        <v>2047</v>
      </c>
      <c r="I1075" s="12" t="s">
        <v>164</v>
      </c>
      <c r="J1075" s="12" t="s">
        <v>165</v>
      </c>
      <c r="K1075" s="12" t="s">
        <v>16</v>
      </c>
      <c r="L1075" s="12" t="s">
        <v>87</v>
      </c>
      <c r="M1075" s="11" t="s">
        <v>88</v>
      </c>
    </row>
    <row r="1076" customFormat="false" ht="28.35" hidden="false" customHeight="false" outlineLevel="0" collapsed="false">
      <c r="A1076" s="11" t="s">
        <v>2099</v>
      </c>
      <c r="B1076" s="12" t="s">
        <v>64</v>
      </c>
      <c r="C1076" s="12" t="s">
        <v>63</v>
      </c>
      <c r="D1076" s="12" t="n">
        <v>29</v>
      </c>
      <c r="E1076" s="12" t="s">
        <v>2088</v>
      </c>
      <c r="F1076" s="12" t="s">
        <v>132</v>
      </c>
      <c r="G1076" s="12" t="s">
        <v>2100</v>
      </c>
      <c r="H1076" s="12" t="s">
        <v>2047</v>
      </c>
      <c r="I1076" s="12" t="s">
        <v>164</v>
      </c>
      <c r="J1076" s="12" t="s">
        <v>165</v>
      </c>
      <c r="K1076" s="12" t="s">
        <v>16</v>
      </c>
      <c r="L1076" s="12" t="s">
        <v>87</v>
      </c>
      <c r="M1076" s="11" t="s">
        <v>88</v>
      </c>
    </row>
    <row r="1077" customFormat="false" ht="28.35" hidden="false" customHeight="false" outlineLevel="0" collapsed="false">
      <c r="A1077" s="11" t="s">
        <v>2101</v>
      </c>
      <c r="B1077" s="12" t="s">
        <v>64</v>
      </c>
      <c r="C1077" s="12" t="s">
        <v>63</v>
      </c>
      <c r="D1077" s="12" t="n">
        <v>30</v>
      </c>
      <c r="E1077" s="12" t="s">
        <v>2102</v>
      </c>
      <c r="F1077" s="12" t="s">
        <v>82</v>
      </c>
      <c r="G1077" s="12" t="s">
        <v>2102</v>
      </c>
      <c r="H1077" s="12" t="s">
        <v>2047</v>
      </c>
      <c r="I1077" s="12" t="s">
        <v>158</v>
      </c>
      <c r="J1077" s="12" t="s">
        <v>159</v>
      </c>
      <c r="K1077" s="12" t="s">
        <v>19</v>
      </c>
      <c r="L1077" s="12" t="s">
        <v>87</v>
      </c>
      <c r="M1077" s="11" t="s">
        <v>88</v>
      </c>
    </row>
    <row r="1078" customFormat="false" ht="28.35" hidden="false" customHeight="false" outlineLevel="0" collapsed="false">
      <c r="A1078" s="11" t="s">
        <v>2103</v>
      </c>
      <c r="B1078" s="12" t="s">
        <v>64</v>
      </c>
      <c r="C1078" s="12" t="s">
        <v>63</v>
      </c>
      <c r="D1078" s="12" t="n">
        <v>31</v>
      </c>
      <c r="E1078" s="12" t="s">
        <v>2102</v>
      </c>
      <c r="F1078" s="12" t="s">
        <v>132</v>
      </c>
      <c r="G1078" s="12" t="s">
        <v>2104</v>
      </c>
      <c r="H1078" s="12" t="s">
        <v>2047</v>
      </c>
      <c r="I1078" s="12" t="s">
        <v>164</v>
      </c>
      <c r="J1078" s="12" t="s">
        <v>165</v>
      </c>
      <c r="K1078" s="12" t="s">
        <v>16</v>
      </c>
      <c r="L1078" s="12" t="s">
        <v>87</v>
      </c>
      <c r="M1078" s="11" t="s">
        <v>88</v>
      </c>
    </row>
    <row r="1079" customFormat="false" ht="28.35" hidden="false" customHeight="false" outlineLevel="0" collapsed="false">
      <c r="A1079" s="11" t="s">
        <v>2105</v>
      </c>
      <c r="B1079" s="12" t="s">
        <v>64</v>
      </c>
      <c r="C1079" s="12" t="s">
        <v>63</v>
      </c>
      <c r="D1079" s="12" t="n">
        <v>32</v>
      </c>
      <c r="E1079" s="12" t="s">
        <v>2102</v>
      </c>
      <c r="F1079" s="12" t="s">
        <v>132</v>
      </c>
      <c r="G1079" s="12" t="s">
        <v>2106</v>
      </c>
      <c r="H1079" s="12" t="s">
        <v>2047</v>
      </c>
      <c r="I1079" s="12" t="s">
        <v>84</v>
      </c>
      <c r="J1079" s="12" t="s">
        <v>85</v>
      </c>
      <c r="K1079" s="12" t="s">
        <v>86</v>
      </c>
      <c r="L1079" s="12" t="s">
        <v>87</v>
      </c>
      <c r="M1079" s="11" t="s">
        <v>88</v>
      </c>
    </row>
    <row r="1080" customFormat="false" ht="28.35" hidden="false" customHeight="false" outlineLevel="0" collapsed="false">
      <c r="A1080" s="11" t="s">
        <v>2107</v>
      </c>
      <c r="B1080" s="12" t="s">
        <v>64</v>
      </c>
      <c r="C1080" s="12" t="s">
        <v>63</v>
      </c>
      <c r="D1080" s="12" t="n">
        <v>33</v>
      </c>
      <c r="E1080" s="12" t="s">
        <v>2102</v>
      </c>
      <c r="F1080" s="12" t="s">
        <v>132</v>
      </c>
      <c r="G1080" s="12" t="s">
        <v>2108</v>
      </c>
      <c r="H1080" s="12" t="s">
        <v>2047</v>
      </c>
      <c r="I1080" s="12" t="s">
        <v>164</v>
      </c>
      <c r="J1080" s="12" t="s">
        <v>165</v>
      </c>
      <c r="K1080" s="12" t="s">
        <v>16</v>
      </c>
      <c r="L1080" s="12" t="s">
        <v>87</v>
      </c>
      <c r="M1080" s="11" t="s">
        <v>88</v>
      </c>
    </row>
    <row r="1081" customFormat="false" ht="28.35" hidden="false" customHeight="false" outlineLevel="0" collapsed="false">
      <c r="A1081" s="11" t="s">
        <v>2109</v>
      </c>
      <c r="B1081" s="12" t="s">
        <v>64</v>
      </c>
      <c r="C1081" s="12" t="s">
        <v>63</v>
      </c>
      <c r="D1081" s="12" t="n">
        <v>34</v>
      </c>
      <c r="E1081" s="12" t="s">
        <v>2102</v>
      </c>
      <c r="F1081" s="12" t="s">
        <v>132</v>
      </c>
      <c r="G1081" s="12" t="s">
        <v>2110</v>
      </c>
      <c r="H1081" s="12" t="s">
        <v>2047</v>
      </c>
      <c r="I1081" s="12" t="s">
        <v>164</v>
      </c>
      <c r="J1081" s="12" t="s">
        <v>165</v>
      </c>
      <c r="K1081" s="12" t="s">
        <v>16</v>
      </c>
      <c r="L1081" s="12" t="s">
        <v>87</v>
      </c>
      <c r="M1081" s="11" t="s">
        <v>88</v>
      </c>
    </row>
    <row r="1082" customFormat="false" ht="28.35" hidden="false" customHeight="false" outlineLevel="0" collapsed="false">
      <c r="A1082" s="11" t="s">
        <v>2111</v>
      </c>
      <c r="B1082" s="12" t="s">
        <v>64</v>
      </c>
      <c r="C1082" s="12" t="s">
        <v>63</v>
      </c>
      <c r="D1082" s="12" t="n">
        <v>35</v>
      </c>
      <c r="E1082" s="12" t="s">
        <v>2102</v>
      </c>
      <c r="F1082" s="12" t="s">
        <v>132</v>
      </c>
      <c r="G1082" s="12" t="s">
        <v>2112</v>
      </c>
      <c r="H1082" s="12" t="s">
        <v>2047</v>
      </c>
      <c r="I1082" s="12" t="s">
        <v>164</v>
      </c>
      <c r="J1082" s="12" t="s">
        <v>165</v>
      </c>
      <c r="K1082" s="12" t="s">
        <v>16</v>
      </c>
      <c r="L1082" s="12" t="s">
        <v>87</v>
      </c>
      <c r="M1082" s="11" t="s">
        <v>88</v>
      </c>
    </row>
    <row r="1083" customFormat="false" ht="28.35" hidden="false" customHeight="false" outlineLevel="0" collapsed="false">
      <c r="A1083" s="11" t="s">
        <v>2113</v>
      </c>
      <c r="B1083" s="11" t="s">
        <v>64</v>
      </c>
      <c r="C1083" s="11" t="s">
        <v>63</v>
      </c>
      <c r="D1083" s="11" t="n">
        <v>36</v>
      </c>
      <c r="E1083" s="11" t="s">
        <v>2102</v>
      </c>
      <c r="F1083" s="11" t="s">
        <v>132</v>
      </c>
      <c r="G1083" s="11" t="s">
        <v>2114</v>
      </c>
      <c r="H1083" s="11" t="s">
        <v>2047</v>
      </c>
      <c r="I1083" s="11" t="s">
        <v>164</v>
      </c>
      <c r="J1083" s="11" t="s">
        <v>165</v>
      </c>
      <c r="K1083" s="11" t="s">
        <v>16</v>
      </c>
      <c r="L1083" s="11" t="s">
        <v>87</v>
      </c>
      <c r="M1083" s="11" t="s">
        <v>88</v>
      </c>
    </row>
  </sheetData>
  <mergeCells count="2">
    <mergeCell ref="A1:M1"/>
    <mergeCell ref="A2:M2"/>
  </mergeCells>
  <conditionalFormatting sqref="K5:K1083">
    <cfRule type="expression" priority="2" aboveAverage="0" equalAverage="0" bottom="0" percent="0" rank="0" text="" dxfId="10">
      <formula>K5="Adaptation obligatoire"</formula>
    </cfRule>
    <cfRule type="expression" priority="3" aboveAverage="0" equalAverage="0" bottom="0" percent="0" rank="0" text="" dxfId="11">
      <formula>K5="Texte source conservé"</formula>
    </cfRule>
    <cfRule type="expression" priority="4" aboveAverage="0" equalAverage="0" bottom="0" percent="0" rank="0" text="" dxfId="12">
      <formula>K5="Validation documentaire"</formula>
    </cfRule>
  </conditionalFormatting>
  <dataValidations count="1">
    <dataValidation allowBlank="false" errorStyle="stop" operator="between" showDropDown="false" showErrorMessage="false" showInputMessage="false" sqref="K5:K1083" type="list">
      <formula1>"Texte source conservé,Texte source conservé + orchestration,Texte source conservé + médiatisation,Déplacement sans perte,Transformation de forme,Adaptation légère à valider,Adaptation nécessaire,Adaptation obligatoire,Validation documentaire"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3" min="3" style="1" width="22"/>
    <col collapsed="false" customWidth="true" hidden="false" outlineLevel="0" max="4" min="4" style="1" width="36"/>
    <col collapsed="false" customWidth="true" hidden="false" outlineLevel="0" max="5" min="5" style="1" width="70"/>
    <col collapsed="false" customWidth="true" hidden="false" outlineLevel="0" max="6" min="6" style="1" width="78"/>
    <col collapsed="false" customWidth="true" hidden="false" outlineLevel="0" max="7" min="7" style="1" width="20"/>
  </cols>
  <sheetData>
    <row r="1" customFormat="false" ht="33.75" hidden="false" customHeight="true" outlineLevel="0" collapsed="false">
      <c r="A1" s="9" t="s">
        <v>2115</v>
      </c>
      <c r="B1" s="9"/>
      <c r="C1" s="9"/>
      <c r="D1" s="9"/>
      <c r="E1" s="9"/>
      <c r="F1" s="9"/>
      <c r="G1" s="9"/>
    </row>
    <row r="2" customFormat="false" ht="31.5" hidden="false" customHeight="true" outlineLevel="0" collapsed="false">
      <c r="A2" s="3" t="s">
        <v>2116</v>
      </c>
      <c r="B2" s="3"/>
      <c r="C2" s="3"/>
      <c r="D2" s="3"/>
      <c r="E2" s="3"/>
      <c r="F2" s="3"/>
      <c r="G2" s="3"/>
    </row>
    <row r="4" customFormat="false" ht="30" hidden="false" customHeight="true" outlineLevel="0" collapsed="false">
      <c r="A4" s="5" t="s">
        <v>70</v>
      </c>
      <c r="B4" s="5" t="s">
        <v>2117</v>
      </c>
      <c r="C4" s="5" t="s">
        <v>2118</v>
      </c>
      <c r="D4" s="5" t="s">
        <v>2119</v>
      </c>
      <c r="E4" s="5" t="s">
        <v>2120</v>
      </c>
      <c r="F4" s="5" t="s">
        <v>2121</v>
      </c>
      <c r="G4" s="5" t="s">
        <v>2122</v>
      </c>
    </row>
    <row r="5" customFormat="false" ht="28.35" hidden="false" customHeight="false" outlineLevel="0" collapsed="false">
      <c r="A5" s="7" t="n">
        <v>0</v>
      </c>
      <c r="B5" s="4" t="s">
        <v>2123</v>
      </c>
      <c r="C5" s="4" t="s">
        <v>2124</v>
      </c>
      <c r="D5" s="4" t="s">
        <v>2125</v>
      </c>
      <c r="E5" s="4" t="s">
        <v>2126</v>
      </c>
      <c r="F5" s="4" t="s">
        <v>2127</v>
      </c>
      <c r="G5" s="7" t="n">
        <v>113</v>
      </c>
    </row>
    <row r="6" customFormat="false" ht="28.35" hidden="false" customHeight="false" outlineLevel="0" collapsed="false">
      <c r="A6" s="7" t="n">
        <v>1</v>
      </c>
      <c r="B6" s="4" t="s">
        <v>259</v>
      </c>
      <c r="C6" s="4" t="s">
        <v>2128</v>
      </c>
      <c r="D6" s="4" t="s">
        <v>2129</v>
      </c>
      <c r="E6" s="4" t="s">
        <v>2130</v>
      </c>
      <c r="F6" s="4" t="s">
        <v>2131</v>
      </c>
      <c r="G6" s="7" t="n">
        <v>262</v>
      </c>
    </row>
    <row r="7" customFormat="false" ht="28.35" hidden="false" customHeight="false" outlineLevel="0" collapsed="false">
      <c r="A7" s="7" t="n">
        <v>2</v>
      </c>
      <c r="B7" s="4" t="s">
        <v>508</v>
      </c>
      <c r="C7" s="4" t="s">
        <v>2132</v>
      </c>
      <c r="D7" s="4" t="s">
        <v>47</v>
      </c>
      <c r="E7" s="4" t="s">
        <v>2133</v>
      </c>
      <c r="F7" s="4" t="s">
        <v>2134</v>
      </c>
      <c r="G7" s="7" t="n">
        <v>121</v>
      </c>
    </row>
    <row r="8" customFormat="false" ht="15" hidden="false" customHeight="false" outlineLevel="0" collapsed="false">
      <c r="A8" s="7" t="n">
        <v>3</v>
      </c>
      <c r="B8" s="4" t="s">
        <v>942</v>
      </c>
      <c r="C8" s="4" t="s">
        <v>2135</v>
      </c>
      <c r="D8" s="4" t="s">
        <v>2136</v>
      </c>
      <c r="E8" s="4" t="s">
        <v>2137</v>
      </c>
      <c r="F8" s="4" t="s">
        <v>2138</v>
      </c>
      <c r="G8" s="7" t="n">
        <v>172</v>
      </c>
    </row>
    <row r="9" customFormat="false" ht="28.35" hidden="false" customHeight="false" outlineLevel="0" collapsed="false">
      <c r="A9" s="7" t="n">
        <v>4</v>
      </c>
      <c r="B9" s="4" t="s">
        <v>731</v>
      </c>
      <c r="C9" s="4" t="s">
        <v>2139</v>
      </c>
      <c r="D9" s="4" t="s">
        <v>2140</v>
      </c>
      <c r="E9" s="4" t="s">
        <v>2141</v>
      </c>
      <c r="F9" s="4" t="s">
        <v>2142</v>
      </c>
      <c r="G9" s="7" t="n">
        <v>141</v>
      </c>
    </row>
    <row r="10" customFormat="false" ht="28.35" hidden="false" customHeight="false" outlineLevel="0" collapsed="false">
      <c r="A10" s="7" t="n">
        <v>5</v>
      </c>
      <c r="B10" s="4" t="s">
        <v>1255</v>
      </c>
      <c r="C10" s="4" t="s">
        <v>2143</v>
      </c>
      <c r="D10" s="4" t="s">
        <v>2144</v>
      </c>
      <c r="E10" s="4" t="s">
        <v>2145</v>
      </c>
      <c r="F10" s="4" t="s">
        <v>2146</v>
      </c>
      <c r="G10" s="7" t="n">
        <v>195</v>
      </c>
    </row>
    <row r="11" customFormat="false" ht="28.35" hidden="false" customHeight="false" outlineLevel="0" collapsed="false">
      <c r="A11" s="7" t="n">
        <v>6</v>
      </c>
      <c r="B11" s="7" t="s">
        <v>1778</v>
      </c>
      <c r="C11" s="7" t="s">
        <v>2147</v>
      </c>
      <c r="D11" s="7" t="s">
        <v>2148</v>
      </c>
      <c r="E11" s="7" t="s">
        <v>2149</v>
      </c>
      <c r="F11" s="7" t="s">
        <v>2150</v>
      </c>
      <c r="G11" s="7" t="n">
        <v>75</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48"/>
    <col collapsed="false" customWidth="true" hidden="false" outlineLevel="0" max="3" min="3" style="1" width="98"/>
    <col collapsed="false" customWidth="true" hidden="false" outlineLevel="0" max="4" min="4" style="1" width="23"/>
    <col collapsed="false" customWidth="true" hidden="false" outlineLevel="0" max="5" min="5" style="1" width="16"/>
    <col collapsed="false" customWidth="true" hidden="false" outlineLevel="0" max="6" min="6" style="1" width="24"/>
    <col collapsed="false" customWidth="true" hidden="false" outlineLevel="0" max="7" min="7" style="1" width="42"/>
    <col collapsed="false" customWidth="true" hidden="false" outlineLevel="0" max="8" min="8" style="1" width="20"/>
  </cols>
  <sheetData>
    <row r="1" customFormat="false" ht="33.75" hidden="false" customHeight="true" outlineLevel="0" collapsed="false">
      <c r="A1" s="9" t="s">
        <v>2151</v>
      </c>
      <c r="B1" s="9"/>
      <c r="C1" s="9"/>
      <c r="D1" s="9"/>
      <c r="E1" s="9"/>
      <c r="F1" s="9"/>
      <c r="G1" s="9"/>
      <c r="H1" s="9"/>
    </row>
    <row r="2" customFormat="false" ht="31.5" hidden="false" customHeight="true" outlineLevel="0" collapsed="false">
      <c r="A2" s="3" t="s">
        <v>2152</v>
      </c>
      <c r="B2" s="3"/>
      <c r="C2" s="3"/>
      <c r="D2" s="3"/>
      <c r="E2" s="3"/>
      <c r="F2" s="3"/>
      <c r="G2" s="3"/>
      <c r="H2" s="3"/>
    </row>
    <row r="4" customFormat="false" ht="30" hidden="false" customHeight="true" outlineLevel="0" collapsed="false">
      <c r="A4" s="5" t="s">
        <v>67</v>
      </c>
      <c r="B4" s="5" t="s">
        <v>2153</v>
      </c>
      <c r="C4" s="5" t="s">
        <v>2154</v>
      </c>
      <c r="D4" s="5" t="s">
        <v>2155</v>
      </c>
      <c r="E4" s="5" t="s">
        <v>2156</v>
      </c>
      <c r="F4" s="5" t="s">
        <v>2157</v>
      </c>
      <c r="G4" s="5" t="s">
        <v>2158</v>
      </c>
      <c r="H4" s="5" t="s">
        <v>2159</v>
      </c>
    </row>
    <row r="5" customFormat="false" ht="15" hidden="false" customHeight="false" outlineLevel="0" collapsed="false">
      <c r="A5" s="7" t="s">
        <v>2160</v>
      </c>
      <c r="B5" s="4"/>
      <c r="C5" s="4" t="s">
        <v>2161</v>
      </c>
      <c r="D5" s="4" t="s">
        <v>2162</v>
      </c>
      <c r="E5" s="4" t="s">
        <v>132</v>
      </c>
      <c r="F5" s="13" t="s">
        <v>2163</v>
      </c>
      <c r="G5" s="4" t="s">
        <v>2164</v>
      </c>
      <c r="H5" s="7" t="s">
        <v>2165</v>
      </c>
    </row>
    <row r="6" customFormat="false" ht="15" hidden="false" customHeight="false" outlineLevel="0" collapsed="false">
      <c r="A6" s="7" t="s">
        <v>2166</v>
      </c>
      <c r="B6" s="4"/>
      <c r="C6" s="4" t="s">
        <v>2167</v>
      </c>
      <c r="D6" s="4" t="s">
        <v>2162</v>
      </c>
      <c r="E6" s="4" t="s">
        <v>132</v>
      </c>
      <c r="F6" s="13" t="s">
        <v>2163</v>
      </c>
      <c r="G6" s="4" t="s">
        <v>2164</v>
      </c>
      <c r="H6" s="7" t="s">
        <v>2165</v>
      </c>
    </row>
    <row r="7" customFormat="false" ht="15" hidden="false" customHeight="false" outlineLevel="0" collapsed="false">
      <c r="A7" s="7" t="s">
        <v>2168</v>
      </c>
      <c r="B7" s="4"/>
      <c r="C7" s="4" t="s">
        <v>2169</v>
      </c>
      <c r="D7" s="4" t="s">
        <v>2162</v>
      </c>
      <c r="E7" s="4" t="s">
        <v>132</v>
      </c>
      <c r="F7" s="13" t="s">
        <v>2163</v>
      </c>
      <c r="G7" s="4" t="s">
        <v>2164</v>
      </c>
      <c r="H7" s="7" t="s">
        <v>2165</v>
      </c>
    </row>
    <row r="8" customFormat="false" ht="28.35" hidden="false" customHeight="false" outlineLevel="0" collapsed="false">
      <c r="A8" s="7" t="s">
        <v>2170</v>
      </c>
      <c r="B8" s="4"/>
      <c r="C8" s="4" t="s">
        <v>2171</v>
      </c>
      <c r="D8" s="4" t="s">
        <v>2162</v>
      </c>
      <c r="E8" s="4" t="s">
        <v>98</v>
      </c>
      <c r="F8" s="13" t="s">
        <v>2163</v>
      </c>
      <c r="G8" s="4" t="s">
        <v>2164</v>
      </c>
      <c r="H8" s="7" t="s">
        <v>2165</v>
      </c>
    </row>
    <row r="9" customFormat="false" ht="15" hidden="false" customHeight="false" outlineLevel="0" collapsed="false">
      <c r="A9" s="7" t="s">
        <v>2172</v>
      </c>
      <c r="B9" s="4"/>
      <c r="C9" s="4" t="s">
        <v>2173</v>
      </c>
      <c r="D9" s="4" t="s">
        <v>2162</v>
      </c>
      <c r="E9" s="4" t="s">
        <v>98</v>
      </c>
      <c r="F9" s="13" t="s">
        <v>2163</v>
      </c>
      <c r="G9" s="4" t="s">
        <v>2164</v>
      </c>
      <c r="H9" s="7" t="s">
        <v>2165</v>
      </c>
    </row>
    <row r="10" customFormat="false" ht="15" hidden="false" customHeight="false" outlineLevel="0" collapsed="false">
      <c r="A10" s="7" t="s">
        <v>2174</v>
      </c>
      <c r="B10" s="4"/>
      <c r="C10" s="4" t="s">
        <v>2175</v>
      </c>
      <c r="D10" s="4" t="s">
        <v>2162</v>
      </c>
      <c r="E10" s="4" t="s">
        <v>98</v>
      </c>
      <c r="F10" s="13" t="s">
        <v>2163</v>
      </c>
      <c r="G10" s="4" t="s">
        <v>2164</v>
      </c>
      <c r="H10" s="7" t="s">
        <v>2165</v>
      </c>
    </row>
    <row r="11" customFormat="false" ht="15" hidden="false" customHeight="false" outlineLevel="0" collapsed="false">
      <c r="A11" s="7" t="s">
        <v>2176</v>
      </c>
      <c r="B11" s="4"/>
      <c r="C11" s="4" t="s">
        <v>2177</v>
      </c>
      <c r="D11" s="4" t="s">
        <v>2162</v>
      </c>
      <c r="E11" s="4" t="s">
        <v>98</v>
      </c>
      <c r="F11" s="13" t="s">
        <v>2163</v>
      </c>
      <c r="G11" s="4" t="s">
        <v>2164</v>
      </c>
      <c r="H11" s="7" t="s">
        <v>2165</v>
      </c>
    </row>
    <row r="12" customFormat="false" ht="15" hidden="false" customHeight="false" outlineLevel="0" collapsed="false">
      <c r="A12" s="7" t="s">
        <v>2178</v>
      </c>
      <c r="B12" s="4"/>
      <c r="C12" s="4" t="s">
        <v>2179</v>
      </c>
      <c r="D12" s="4" t="s">
        <v>2162</v>
      </c>
      <c r="E12" s="4" t="s">
        <v>98</v>
      </c>
      <c r="F12" s="13" t="s">
        <v>2163</v>
      </c>
      <c r="G12" s="4" t="s">
        <v>2164</v>
      </c>
      <c r="H12" s="7" t="s">
        <v>2165</v>
      </c>
    </row>
    <row r="13" customFormat="false" ht="15" hidden="false" customHeight="false" outlineLevel="0" collapsed="false">
      <c r="A13" s="7" t="s">
        <v>2180</v>
      </c>
      <c r="B13" s="4"/>
      <c r="C13" s="4" t="s">
        <v>2181</v>
      </c>
      <c r="D13" s="4" t="s">
        <v>2162</v>
      </c>
      <c r="E13" s="4" t="s">
        <v>98</v>
      </c>
      <c r="F13" s="13" t="s">
        <v>2163</v>
      </c>
      <c r="G13" s="4" t="s">
        <v>2164</v>
      </c>
      <c r="H13" s="7" t="s">
        <v>2165</v>
      </c>
    </row>
    <row r="14" customFormat="false" ht="15" hidden="false" customHeight="false" outlineLevel="0" collapsed="false">
      <c r="A14" s="7" t="s">
        <v>2182</v>
      </c>
      <c r="B14" s="4"/>
      <c r="C14" s="4" t="s">
        <v>2183</v>
      </c>
      <c r="D14" s="4" t="s">
        <v>2162</v>
      </c>
      <c r="E14" s="4" t="s">
        <v>98</v>
      </c>
      <c r="F14" s="13" t="s">
        <v>2163</v>
      </c>
      <c r="G14" s="4" t="s">
        <v>2164</v>
      </c>
      <c r="H14" s="7" t="s">
        <v>2165</v>
      </c>
    </row>
    <row r="15" customFormat="false" ht="15" hidden="false" customHeight="false" outlineLevel="0" collapsed="false">
      <c r="A15" s="7" t="s">
        <v>2184</v>
      </c>
      <c r="B15" s="4"/>
      <c r="C15" s="4" t="s">
        <v>2185</v>
      </c>
      <c r="D15" s="4" t="s">
        <v>2162</v>
      </c>
      <c r="E15" s="4" t="s">
        <v>98</v>
      </c>
      <c r="F15" s="13" t="s">
        <v>2163</v>
      </c>
      <c r="G15" s="4" t="s">
        <v>2164</v>
      </c>
      <c r="H15" s="7" t="s">
        <v>2165</v>
      </c>
    </row>
    <row r="16" customFormat="false" ht="15" hidden="false" customHeight="false" outlineLevel="0" collapsed="false">
      <c r="A16" s="7" t="s">
        <v>2186</v>
      </c>
      <c r="B16" s="4"/>
      <c r="C16" s="4" t="s">
        <v>2187</v>
      </c>
      <c r="D16" s="4" t="s">
        <v>2188</v>
      </c>
      <c r="E16" s="4" t="s">
        <v>98</v>
      </c>
      <c r="F16" s="13" t="s">
        <v>2163</v>
      </c>
      <c r="G16" s="4" t="s">
        <v>2164</v>
      </c>
      <c r="H16" s="7" t="s">
        <v>2165</v>
      </c>
    </row>
    <row r="17" customFormat="false" ht="28.35" hidden="false" customHeight="false" outlineLevel="0" collapsed="false">
      <c r="A17" s="7" t="s">
        <v>2189</v>
      </c>
      <c r="B17" s="4"/>
      <c r="C17" s="4" t="s">
        <v>2190</v>
      </c>
      <c r="D17" s="4" t="s">
        <v>2162</v>
      </c>
      <c r="E17" s="4" t="s">
        <v>132</v>
      </c>
      <c r="F17" s="13" t="s">
        <v>2163</v>
      </c>
      <c r="G17" s="4" t="s">
        <v>2164</v>
      </c>
      <c r="H17" s="7" t="s">
        <v>2165</v>
      </c>
    </row>
    <row r="18" customFormat="false" ht="15" hidden="false" customHeight="false" outlineLevel="0" collapsed="false">
      <c r="A18" s="7" t="s">
        <v>2191</v>
      </c>
      <c r="B18" s="4" t="s">
        <v>2192</v>
      </c>
      <c r="C18" s="4" t="s">
        <v>2192</v>
      </c>
      <c r="D18" s="4" t="s">
        <v>2162</v>
      </c>
      <c r="E18" s="4" t="s">
        <v>82</v>
      </c>
      <c r="F18" s="13" t="s">
        <v>2163</v>
      </c>
      <c r="G18" s="4" t="s">
        <v>2164</v>
      </c>
      <c r="H18" s="7" t="s">
        <v>2165</v>
      </c>
    </row>
    <row r="19" customFormat="false" ht="15" hidden="false" customHeight="false" outlineLevel="0" collapsed="false">
      <c r="A19" s="7" t="s">
        <v>2193</v>
      </c>
      <c r="B19" s="4" t="s">
        <v>2194</v>
      </c>
      <c r="C19" s="4" t="s">
        <v>2194</v>
      </c>
      <c r="D19" s="4" t="s">
        <v>2162</v>
      </c>
      <c r="E19" s="4" t="s">
        <v>82</v>
      </c>
      <c r="F19" s="13" t="s">
        <v>2163</v>
      </c>
      <c r="G19" s="4" t="s">
        <v>2164</v>
      </c>
      <c r="H19" s="7" t="s">
        <v>2165</v>
      </c>
    </row>
    <row r="20" customFormat="false" ht="41.75" hidden="false" customHeight="false" outlineLevel="0" collapsed="false">
      <c r="A20" s="7" t="s">
        <v>2195</v>
      </c>
      <c r="B20" s="4" t="s">
        <v>2194</v>
      </c>
      <c r="C20" s="4" t="s">
        <v>2196</v>
      </c>
      <c r="D20" s="4" t="s">
        <v>2162</v>
      </c>
      <c r="E20" s="4" t="s">
        <v>132</v>
      </c>
      <c r="F20" s="13" t="s">
        <v>2163</v>
      </c>
      <c r="G20" s="4" t="s">
        <v>2164</v>
      </c>
      <c r="H20" s="7" t="s">
        <v>2165</v>
      </c>
    </row>
    <row r="21" customFormat="false" ht="15" hidden="false" customHeight="false" outlineLevel="0" collapsed="false">
      <c r="A21" s="7" t="s">
        <v>2197</v>
      </c>
      <c r="B21" s="4" t="s">
        <v>2198</v>
      </c>
      <c r="C21" s="4" t="s">
        <v>2198</v>
      </c>
      <c r="D21" s="4" t="s">
        <v>2162</v>
      </c>
      <c r="E21" s="4" t="s">
        <v>82</v>
      </c>
      <c r="F21" s="13" t="s">
        <v>2163</v>
      </c>
      <c r="G21" s="4" t="s">
        <v>2164</v>
      </c>
      <c r="H21" s="7" t="s">
        <v>2165</v>
      </c>
    </row>
    <row r="22" customFormat="false" ht="28.35" hidden="false" customHeight="false" outlineLevel="0" collapsed="false">
      <c r="A22" s="7" t="s">
        <v>2199</v>
      </c>
      <c r="B22" s="4" t="s">
        <v>2198</v>
      </c>
      <c r="C22" s="4" t="s">
        <v>2200</v>
      </c>
      <c r="D22" s="4" t="s">
        <v>2162</v>
      </c>
      <c r="E22" s="4" t="s">
        <v>2201</v>
      </c>
      <c r="F22" s="13" t="s">
        <v>2163</v>
      </c>
      <c r="G22" s="4" t="s">
        <v>2164</v>
      </c>
      <c r="H22" s="7" t="s">
        <v>2165</v>
      </c>
    </row>
    <row r="23" customFormat="false" ht="28.35" hidden="false" customHeight="false" outlineLevel="0" collapsed="false">
      <c r="A23" s="7" t="s">
        <v>2202</v>
      </c>
      <c r="B23" s="4" t="s">
        <v>2198</v>
      </c>
      <c r="C23" s="4" t="s">
        <v>2203</v>
      </c>
      <c r="D23" s="4" t="s">
        <v>2162</v>
      </c>
      <c r="E23" s="4" t="s">
        <v>2201</v>
      </c>
      <c r="F23" s="13" t="s">
        <v>2163</v>
      </c>
      <c r="G23" s="4" t="s">
        <v>2164</v>
      </c>
      <c r="H23" s="7" t="s">
        <v>2165</v>
      </c>
    </row>
    <row r="24" customFormat="false" ht="28.35" hidden="false" customHeight="false" outlineLevel="0" collapsed="false">
      <c r="A24" s="7" t="s">
        <v>2204</v>
      </c>
      <c r="B24" s="4" t="s">
        <v>2198</v>
      </c>
      <c r="C24" s="4" t="s">
        <v>2205</v>
      </c>
      <c r="D24" s="4" t="s">
        <v>2162</v>
      </c>
      <c r="E24" s="4" t="s">
        <v>2201</v>
      </c>
      <c r="F24" s="13" t="s">
        <v>2163</v>
      </c>
      <c r="G24" s="4" t="s">
        <v>2164</v>
      </c>
      <c r="H24" s="7" t="s">
        <v>2165</v>
      </c>
    </row>
    <row r="25" customFormat="false" ht="28.35" hidden="false" customHeight="false" outlineLevel="0" collapsed="false">
      <c r="A25" s="7" t="s">
        <v>2206</v>
      </c>
      <c r="B25" s="4" t="s">
        <v>2198</v>
      </c>
      <c r="C25" s="4" t="s">
        <v>2207</v>
      </c>
      <c r="D25" s="4" t="s">
        <v>2162</v>
      </c>
      <c r="E25" s="4" t="s">
        <v>2201</v>
      </c>
      <c r="F25" s="13" t="s">
        <v>2163</v>
      </c>
      <c r="G25" s="4" t="s">
        <v>2164</v>
      </c>
      <c r="H25" s="7" t="s">
        <v>2165</v>
      </c>
    </row>
    <row r="26" customFormat="false" ht="15" hidden="false" customHeight="false" outlineLevel="0" collapsed="false">
      <c r="A26" s="7" t="s">
        <v>2208</v>
      </c>
      <c r="B26" s="4" t="s">
        <v>2209</v>
      </c>
      <c r="C26" s="4" t="s">
        <v>2209</v>
      </c>
      <c r="D26" s="4" t="s">
        <v>2162</v>
      </c>
      <c r="E26" s="4" t="s">
        <v>82</v>
      </c>
      <c r="F26" s="13" t="s">
        <v>2163</v>
      </c>
      <c r="G26" s="4" t="s">
        <v>2164</v>
      </c>
      <c r="H26" s="7" t="s">
        <v>2165</v>
      </c>
    </row>
    <row r="27" customFormat="false" ht="15" hidden="false" customHeight="false" outlineLevel="0" collapsed="false">
      <c r="A27" s="7" t="s">
        <v>2210</v>
      </c>
      <c r="B27" s="4" t="s">
        <v>2209</v>
      </c>
      <c r="C27" s="4" t="s">
        <v>2211</v>
      </c>
      <c r="D27" s="4" t="s">
        <v>2162</v>
      </c>
      <c r="E27" s="4" t="s">
        <v>2201</v>
      </c>
      <c r="F27" s="13" t="s">
        <v>2163</v>
      </c>
      <c r="G27" s="4" t="s">
        <v>2164</v>
      </c>
      <c r="H27" s="7" t="s">
        <v>2165</v>
      </c>
    </row>
    <row r="28" customFormat="false" ht="15" hidden="false" customHeight="false" outlineLevel="0" collapsed="false">
      <c r="A28" s="7" t="s">
        <v>2212</v>
      </c>
      <c r="B28" s="4" t="s">
        <v>2209</v>
      </c>
      <c r="C28" s="4" t="s">
        <v>2213</v>
      </c>
      <c r="D28" s="4" t="s">
        <v>2162</v>
      </c>
      <c r="E28" s="4" t="s">
        <v>2201</v>
      </c>
      <c r="F28" s="13" t="s">
        <v>2163</v>
      </c>
      <c r="G28" s="4" t="s">
        <v>2164</v>
      </c>
      <c r="H28" s="7" t="s">
        <v>2165</v>
      </c>
    </row>
    <row r="29" customFormat="false" ht="15" hidden="false" customHeight="false" outlineLevel="0" collapsed="false">
      <c r="A29" s="7" t="s">
        <v>2214</v>
      </c>
      <c r="B29" s="4" t="s">
        <v>2209</v>
      </c>
      <c r="C29" s="4" t="s">
        <v>2215</v>
      </c>
      <c r="D29" s="4" t="s">
        <v>2162</v>
      </c>
      <c r="E29" s="4" t="s">
        <v>2201</v>
      </c>
      <c r="F29" s="13" t="s">
        <v>2163</v>
      </c>
      <c r="G29" s="4" t="s">
        <v>2164</v>
      </c>
      <c r="H29" s="7" t="s">
        <v>2165</v>
      </c>
    </row>
    <row r="30" customFormat="false" ht="15" hidden="false" customHeight="false" outlineLevel="0" collapsed="false">
      <c r="A30" s="7" t="s">
        <v>2216</v>
      </c>
      <c r="B30" s="4" t="s">
        <v>2209</v>
      </c>
      <c r="C30" s="4" t="s">
        <v>2217</v>
      </c>
      <c r="D30" s="4" t="s">
        <v>2162</v>
      </c>
      <c r="E30" s="4" t="s">
        <v>2201</v>
      </c>
      <c r="F30" s="13" t="s">
        <v>2163</v>
      </c>
      <c r="G30" s="4" t="s">
        <v>2164</v>
      </c>
      <c r="H30" s="7" t="s">
        <v>2165</v>
      </c>
    </row>
    <row r="31" customFormat="false" ht="15" hidden="false" customHeight="false" outlineLevel="0" collapsed="false">
      <c r="A31" s="7" t="s">
        <v>2218</v>
      </c>
      <c r="B31" s="4" t="s">
        <v>2219</v>
      </c>
      <c r="C31" s="4" t="s">
        <v>2219</v>
      </c>
      <c r="D31" s="4" t="s">
        <v>2162</v>
      </c>
      <c r="E31" s="4" t="s">
        <v>82</v>
      </c>
      <c r="F31" s="13" t="s">
        <v>2163</v>
      </c>
      <c r="G31" s="4" t="s">
        <v>2164</v>
      </c>
      <c r="H31" s="7" t="s">
        <v>2165</v>
      </c>
    </row>
    <row r="32" customFormat="false" ht="28.35" hidden="false" customHeight="false" outlineLevel="0" collapsed="false">
      <c r="A32" s="7" t="s">
        <v>2220</v>
      </c>
      <c r="B32" s="4" t="s">
        <v>2219</v>
      </c>
      <c r="C32" s="4" t="s">
        <v>2221</v>
      </c>
      <c r="D32" s="4" t="s">
        <v>2222</v>
      </c>
      <c r="E32" s="4" t="s">
        <v>132</v>
      </c>
      <c r="F32" s="13" t="s">
        <v>2163</v>
      </c>
      <c r="G32" s="4" t="s">
        <v>2164</v>
      </c>
      <c r="H32" s="7" t="s">
        <v>2165</v>
      </c>
    </row>
    <row r="33" customFormat="false" ht="15" hidden="false" customHeight="false" outlineLevel="0" collapsed="false">
      <c r="A33" s="7" t="s">
        <v>2223</v>
      </c>
      <c r="B33" s="4" t="s">
        <v>2219</v>
      </c>
      <c r="C33" s="4" t="s">
        <v>2224</v>
      </c>
      <c r="D33" s="4" t="s">
        <v>2162</v>
      </c>
      <c r="E33" s="4" t="s">
        <v>98</v>
      </c>
      <c r="F33" s="13" t="s">
        <v>2163</v>
      </c>
      <c r="G33" s="4" t="s">
        <v>2164</v>
      </c>
      <c r="H33" s="7" t="s">
        <v>2165</v>
      </c>
    </row>
    <row r="34" customFormat="false" ht="28.35" hidden="false" customHeight="false" outlineLevel="0" collapsed="false">
      <c r="A34" s="7" t="s">
        <v>2225</v>
      </c>
      <c r="B34" s="4" t="s">
        <v>2219</v>
      </c>
      <c r="C34" s="4" t="s">
        <v>2226</v>
      </c>
      <c r="D34" s="4" t="s">
        <v>2162</v>
      </c>
      <c r="E34" s="4" t="s">
        <v>98</v>
      </c>
      <c r="F34" s="13" t="s">
        <v>2163</v>
      </c>
      <c r="G34" s="4" t="s">
        <v>2164</v>
      </c>
      <c r="H34" s="7" t="s">
        <v>2165</v>
      </c>
    </row>
    <row r="35" customFormat="false" ht="28.35" hidden="false" customHeight="false" outlineLevel="0" collapsed="false">
      <c r="A35" s="7" t="s">
        <v>2227</v>
      </c>
      <c r="B35" s="4" t="s">
        <v>2219</v>
      </c>
      <c r="C35" s="4" t="s">
        <v>2228</v>
      </c>
      <c r="D35" s="4" t="s">
        <v>2162</v>
      </c>
      <c r="E35" s="4" t="s">
        <v>98</v>
      </c>
      <c r="F35" s="13" t="s">
        <v>2163</v>
      </c>
      <c r="G35" s="4" t="s">
        <v>2164</v>
      </c>
      <c r="H35" s="7" t="s">
        <v>2165</v>
      </c>
    </row>
    <row r="36" customFormat="false" ht="28.35" hidden="false" customHeight="false" outlineLevel="0" collapsed="false">
      <c r="A36" s="7" t="s">
        <v>2229</v>
      </c>
      <c r="B36" s="4" t="s">
        <v>2219</v>
      </c>
      <c r="C36" s="4" t="s">
        <v>2230</v>
      </c>
      <c r="D36" s="4" t="s">
        <v>2162</v>
      </c>
      <c r="E36" s="4" t="s">
        <v>98</v>
      </c>
      <c r="F36" s="13" t="s">
        <v>2163</v>
      </c>
      <c r="G36" s="4" t="s">
        <v>2164</v>
      </c>
      <c r="H36" s="7" t="s">
        <v>2165</v>
      </c>
    </row>
    <row r="37" customFormat="false" ht="28.35" hidden="false" customHeight="false" outlineLevel="0" collapsed="false">
      <c r="A37" s="7" t="s">
        <v>2231</v>
      </c>
      <c r="B37" s="4" t="s">
        <v>2219</v>
      </c>
      <c r="C37" s="4" t="s">
        <v>2232</v>
      </c>
      <c r="D37" s="4" t="s">
        <v>2162</v>
      </c>
      <c r="E37" s="4" t="s">
        <v>98</v>
      </c>
      <c r="F37" s="13" t="s">
        <v>2163</v>
      </c>
      <c r="G37" s="4" t="s">
        <v>2164</v>
      </c>
      <c r="H37" s="7" t="s">
        <v>2165</v>
      </c>
    </row>
    <row r="38" customFormat="false" ht="28.35" hidden="false" customHeight="false" outlineLevel="0" collapsed="false">
      <c r="A38" s="7" t="s">
        <v>2233</v>
      </c>
      <c r="B38" s="4" t="s">
        <v>2219</v>
      </c>
      <c r="C38" s="4" t="s">
        <v>2234</v>
      </c>
      <c r="D38" s="4" t="s">
        <v>2162</v>
      </c>
      <c r="E38" s="4" t="s">
        <v>98</v>
      </c>
      <c r="F38" s="13" t="s">
        <v>2163</v>
      </c>
      <c r="G38" s="4" t="s">
        <v>2164</v>
      </c>
      <c r="H38" s="7" t="s">
        <v>2165</v>
      </c>
    </row>
    <row r="39" customFormat="false" ht="28.35" hidden="false" customHeight="false" outlineLevel="0" collapsed="false">
      <c r="A39" s="7" t="s">
        <v>2235</v>
      </c>
      <c r="B39" s="4" t="s">
        <v>2219</v>
      </c>
      <c r="C39" s="4" t="s">
        <v>2236</v>
      </c>
      <c r="D39" s="4" t="s">
        <v>2237</v>
      </c>
      <c r="E39" s="4" t="s">
        <v>98</v>
      </c>
      <c r="F39" s="13" t="s">
        <v>2163</v>
      </c>
      <c r="G39" s="4" t="s">
        <v>2164</v>
      </c>
      <c r="H39" s="7" t="s">
        <v>2165</v>
      </c>
    </row>
    <row r="40" customFormat="false" ht="28.35" hidden="false" customHeight="false" outlineLevel="0" collapsed="false">
      <c r="A40" s="7" t="s">
        <v>2238</v>
      </c>
      <c r="B40" s="4" t="s">
        <v>2219</v>
      </c>
      <c r="C40" s="4" t="s">
        <v>2239</v>
      </c>
      <c r="D40" s="4" t="s">
        <v>2237</v>
      </c>
      <c r="E40" s="4" t="s">
        <v>98</v>
      </c>
      <c r="F40" s="13" t="s">
        <v>2163</v>
      </c>
      <c r="G40" s="4" t="s">
        <v>2164</v>
      </c>
      <c r="H40" s="7" t="s">
        <v>2165</v>
      </c>
    </row>
    <row r="41" customFormat="false" ht="28.35" hidden="false" customHeight="false" outlineLevel="0" collapsed="false">
      <c r="A41" s="7" t="s">
        <v>2240</v>
      </c>
      <c r="B41" s="4" t="s">
        <v>2219</v>
      </c>
      <c r="C41" s="4" t="s">
        <v>2241</v>
      </c>
      <c r="D41" s="4" t="s">
        <v>2242</v>
      </c>
      <c r="E41" s="4" t="s">
        <v>98</v>
      </c>
      <c r="F41" s="13" t="s">
        <v>2163</v>
      </c>
      <c r="G41" s="4" t="s">
        <v>2164</v>
      </c>
      <c r="H41" s="7" t="s">
        <v>2165</v>
      </c>
    </row>
    <row r="42" customFormat="false" ht="15" hidden="false" customHeight="false" outlineLevel="0" collapsed="false">
      <c r="A42" s="7" t="s">
        <v>2243</v>
      </c>
      <c r="B42" s="4" t="s">
        <v>2244</v>
      </c>
      <c r="C42" s="4" t="s">
        <v>2244</v>
      </c>
      <c r="D42" s="4" t="s">
        <v>2162</v>
      </c>
      <c r="E42" s="4" t="s">
        <v>82</v>
      </c>
      <c r="F42" s="13" t="s">
        <v>2163</v>
      </c>
      <c r="G42" s="4" t="s">
        <v>2164</v>
      </c>
      <c r="H42" s="7" t="s">
        <v>2165</v>
      </c>
    </row>
    <row r="43" customFormat="false" ht="15" hidden="false" customHeight="false" outlineLevel="0" collapsed="false">
      <c r="A43" s="7" t="s">
        <v>2245</v>
      </c>
      <c r="B43" s="4" t="s">
        <v>2244</v>
      </c>
      <c r="C43" s="4" t="s">
        <v>2246</v>
      </c>
      <c r="D43" s="4" t="s">
        <v>2162</v>
      </c>
      <c r="E43" s="4" t="s">
        <v>98</v>
      </c>
      <c r="F43" s="13" t="s">
        <v>2163</v>
      </c>
      <c r="G43" s="4" t="s">
        <v>2164</v>
      </c>
      <c r="H43" s="7" t="s">
        <v>2165</v>
      </c>
    </row>
    <row r="44" customFormat="false" ht="28.35" hidden="false" customHeight="false" outlineLevel="0" collapsed="false">
      <c r="A44" s="7" t="s">
        <v>2247</v>
      </c>
      <c r="B44" s="4" t="s">
        <v>2244</v>
      </c>
      <c r="C44" s="4" t="s">
        <v>2248</v>
      </c>
      <c r="D44" s="4" t="s">
        <v>2249</v>
      </c>
      <c r="E44" s="4" t="s">
        <v>98</v>
      </c>
      <c r="F44" s="13" t="s">
        <v>2163</v>
      </c>
      <c r="G44" s="4" t="s">
        <v>2164</v>
      </c>
      <c r="H44" s="7" t="s">
        <v>2165</v>
      </c>
    </row>
    <row r="45" customFormat="false" ht="41.75" hidden="false" customHeight="false" outlineLevel="0" collapsed="false">
      <c r="A45" s="7" t="s">
        <v>2250</v>
      </c>
      <c r="B45" s="4" t="s">
        <v>2244</v>
      </c>
      <c r="C45" s="4" t="s">
        <v>2251</v>
      </c>
      <c r="D45" s="4" t="s">
        <v>2252</v>
      </c>
      <c r="E45" s="4" t="s">
        <v>98</v>
      </c>
      <c r="F45" s="13" t="s">
        <v>2163</v>
      </c>
      <c r="G45" s="4" t="s">
        <v>2164</v>
      </c>
      <c r="H45" s="7" t="s">
        <v>2165</v>
      </c>
    </row>
    <row r="46" customFormat="false" ht="28.35" hidden="false" customHeight="false" outlineLevel="0" collapsed="false">
      <c r="A46" s="7" t="s">
        <v>2253</v>
      </c>
      <c r="B46" s="4" t="s">
        <v>2244</v>
      </c>
      <c r="C46" s="4" t="s">
        <v>2254</v>
      </c>
      <c r="D46" s="4" t="s">
        <v>2255</v>
      </c>
      <c r="E46" s="4" t="s">
        <v>98</v>
      </c>
      <c r="F46" s="13" t="s">
        <v>2163</v>
      </c>
      <c r="G46" s="4" t="s">
        <v>2164</v>
      </c>
      <c r="H46" s="7" t="s">
        <v>2165</v>
      </c>
    </row>
    <row r="47" customFormat="false" ht="28.35" hidden="false" customHeight="false" outlineLevel="0" collapsed="false">
      <c r="A47" s="7" t="s">
        <v>2256</v>
      </c>
      <c r="B47" s="4" t="s">
        <v>2244</v>
      </c>
      <c r="C47" s="4" t="s">
        <v>2257</v>
      </c>
      <c r="D47" s="4" t="s">
        <v>2237</v>
      </c>
      <c r="E47" s="4" t="s">
        <v>98</v>
      </c>
      <c r="F47" s="13" t="s">
        <v>2163</v>
      </c>
      <c r="G47" s="4" t="s">
        <v>2164</v>
      </c>
      <c r="H47" s="7" t="s">
        <v>2165</v>
      </c>
    </row>
    <row r="48" customFormat="false" ht="28.35" hidden="false" customHeight="false" outlineLevel="0" collapsed="false">
      <c r="A48" s="7" t="s">
        <v>2258</v>
      </c>
      <c r="B48" s="4" t="s">
        <v>2244</v>
      </c>
      <c r="C48" s="4" t="s">
        <v>2259</v>
      </c>
      <c r="D48" s="4" t="s">
        <v>2162</v>
      </c>
      <c r="E48" s="4" t="s">
        <v>98</v>
      </c>
      <c r="F48" s="13" t="s">
        <v>2163</v>
      </c>
      <c r="G48" s="4" t="s">
        <v>2164</v>
      </c>
      <c r="H48" s="7" t="s">
        <v>2165</v>
      </c>
    </row>
    <row r="49" customFormat="false" ht="28.35" hidden="false" customHeight="false" outlineLevel="0" collapsed="false">
      <c r="A49" s="7" t="s">
        <v>2260</v>
      </c>
      <c r="B49" s="4" t="s">
        <v>2244</v>
      </c>
      <c r="C49" s="4" t="s">
        <v>2261</v>
      </c>
      <c r="D49" s="4" t="s">
        <v>2262</v>
      </c>
      <c r="E49" s="4" t="s">
        <v>98</v>
      </c>
      <c r="F49" s="13" t="s">
        <v>2163</v>
      </c>
      <c r="G49" s="4" t="s">
        <v>2164</v>
      </c>
      <c r="H49" s="7" t="s">
        <v>2165</v>
      </c>
    </row>
    <row r="50" customFormat="false" ht="41.75" hidden="false" customHeight="false" outlineLevel="0" collapsed="false">
      <c r="A50" s="7" t="s">
        <v>2263</v>
      </c>
      <c r="B50" s="4" t="s">
        <v>2244</v>
      </c>
      <c r="C50" s="4" t="s">
        <v>2264</v>
      </c>
      <c r="D50" s="4" t="s">
        <v>2237</v>
      </c>
      <c r="E50" s="4" t="s">
        <v>98</v>
      </c>
      <c r="F50" s="13" t="s">
        <v>2163</v>
      </c>
      <c r="G50" s="4" t="s">
        <v>2164</v>
      </c>
      <c r="H50" s="7" t="s">
        <v>2165</v>
      </c>
    </row>
    <row r="51" customFormat="false" ht="15" hidden="false" customHeight="false" outlineLevel="0" collapsed="false">
      <c r="A51" s="7" t="s">
        <v>2265</v>
      </c>
      <c r="B51" s="4" t="s">
        <v>2266</v>
      </c>
      <c r="C51" s="4" t="s">
        <v>2266</v>
      </c>
      <c r="D51" s="4" t="s">
        <v>2162</v>
      </c>
      <c r="E51" s="4" t="s">
        <v>82</v>
      </c>
      <c r="F51" s="13" t="s">
        <v>2163</v>
      </c>
      <c r="G51" s="4" t="s">
        <v>2164</v>
      </c>
      <c r="H51" s="7" t="s">
        <v>2165</v>
      </c>
    </row>
    <row r="52" customFormat="false" ht="15" hidden="false" customHeight="false" outlineLevel="0" collapsed="false">
      <c r="A52" s="7" t="s">
        <v>2267</v>
      </c>
      <c r="B52" s="4" t="s">
        <v>2268</v>
      </c>
      <c r="C52" s="4" t="s">
        <v>2268</v>
      </c>
      <c r="D52" s="4" t="s">
        <v>2162</v>
      </c>
      <c r="E52" s="4" t="s">
        <v>82</v>
      </c>
      <c r="F52" s="13" t="s">
        <v>2163</v>
      </c>
      <c r="G52" s="4" t="s">
        <v>2164</v>
      </c>
      <c r="H52" s="7" t="s">
        <v>2165</v>
      </c>
    </row>
    <row r="53" customFormat="false" ht="15" hidden="false" customHeight="false" outlineLevel="0" collapsed="false">
      <c r="A53" s="7" t="s">
        <v>2269</v>
      </c>
      <c r="B53" s="4" t="s">
        <v>2268</v>
      </c>
      <c r="C53" s="4" t="s">
        <v>2270</v>
      </c>
      <c r="D53" s="4" t="s">
        <v>2162</v>
      </c>
      <c r="E53" s="4" t="s">
        <v>98</v>
      </c>
      <c r="F53" s="13" t="s">
        <v>2163</v>
      </c>
      <c r="G53" s="4" t="s">
        <v>2164</v>
      </c>
      <c r="H53" s="7" t="s">
        <v>2165</v>
      </c>
    </row>
    <row r="54" customFormat="false" ht="28.35" hidden="false" customHeight="false" outlineLevel="0" collapsed="false">
      <c r="A54" s="7" t="s">
        <v>2271</v>
      </c>
      <c r="B54" s="4" t="s">
        <v>2268</v>
      </c>
      <c r="C54" s="4" t="s">
        <v>2272</v>
      </c>
      <c r="D54" s="4" t="s">
        <v>2162</v>
      </c>
      <c r="E54" s="4" t="s">
        <v>98</v>
      </c>
      <c r="F54" s="13" t="s">
        <v>2163</v>
      </c>
      <c r="G54" s="4" t="s">
        <v>2164</v>
      </c>
      <c r="H54" s="7" t="s">
        <v>2165</v>
      </c>
    </row>
    <row r="55" customFormat="false" ht="15" hidden="false" customHeight="false" outlineLevel="0" collapsed="false">
      <c r="A55" s="7" t="s">
        <v>2273</v>
      </c>
      <c r="B55" s="4" t="s">
        <v>2268</v>
      </c>
      <c r="C55" s="4" t="s">
        <v>2274</v>
      </c>
      <c r="D55" s="4" t="s">
        <v>2162</v>
      </c>
      <c r="E55" s="4" t="s">
        <v>98</v>
      </c>
      <c r="F55" s="13" t="s">
        <v>2163</v>
      </c>
      <c r="G55" s="4" t="s">
        <v>2164</v>
      </c>
      <c r="H55" s="7" t="s">
        <v>2165</v>
      </c>
    </row>
    <row r="56" customFormat="false" ht="28.35" hidden="false" customHeight="false" outlineLevel="0" collapsed="false">
      <c r="A56" s="7" t="s">
        <v>2275</v>
      </c>
      <c r="B56" s="4" t="s">
        <v>2268</v>
      </c>
      <c r="C56" s="4" t="s">
        <v>2276</v>
      </c>
      <c r="D56" s="4" t="s">
        <v>2162</v>
      </c>
      <c r="E56" s="4" t="s">
        <v>98</v>
      </c>
      <c r="F56" s="13" t="s">
        <v>2163</v>
      </c>
      <c r="G56" s="4" t="s">
        <v>2164</v>
      </c>
      <c r="H56" s="7" t="s">
        <v>2165</v>
      </c>
    </row>
    <row r="57" customFormat="false" ht="28.35" hidden="false" customHeight="false" outlineLevel="0" collapsed="false">
      <c r="A57" s="7" t="s">
        <v>2277</v>
      </c>
      <c r="B57" s="4" t="s">
        <v>2268</v>
      </c>
      <c r="C57" s="4" t="s">
        <v>2278</v>
      </c>
      <c r="D57" s="4" t="s">
        <v>2188</v>
      </c>
      <c r="E57" s="4" t="s">
        <v>98</v>
      </c>
      <c r="F57" s="13" t="s">
        <v>2163</v>
      </c>
      <c r="G57" s="4" t="s">
        <v>2164</v>
      </c>
      <c r="H57" s="7" t="s">
        <v>2165</v>
      </c>
    </row>
    <row r="58" customFormat="false" ht="28.35" hidden="false" customHeight="false" outlineLevel="0" collapsed="false">
      <c r="A58" s="7" t="s">
        <v>2279</v>
      </c>
      <c r="B58" s="4" t="s">
        <v>2268</v>
      </c>
      <c r="C58" s="4" t="s">
        <v>2280</v>
      </c>
      <c r="D58" s="4" t="s">
        <v>2188</v>
      </c>
      <c r="E58" s="4" t="s">
        <v>98</v>
      </c>
      <c r="F58" s="13" t="s">
        <v>2163</v>
      </c>
      <c r="G58" s="4" t="s">
        <v>2164</v>
      </c>
      <c r="H58" s="7" t="s">
        <v>2165</v>
      </c>
    </row>
    <row r="59" customFormat="false" ht="28.35" hidden="false" customHeight="false" outlineLevel="0" collapsed="false">
      <c r="A59" s="7" t="s">
        <v>2281</v>
      </c>
      <c r="B59" s="4" t="s">
        <v>2268</v>
      </c>
      <c r="C59" s="4" t="s">
        <v>2282</v>
      </c>
      <c r="D59" s="4" t="s">
        <v>2188</v>
      </c>
      <c r="E59" s="4" t="s">
        <v>98</v>
      </c>
      <c r="F59" s="13" t="s">
        <v>2163</v>
      </c>
      <c r="G59" s="4" t="s">
        <v>2164</v>
      </c>
      <c r="H59" s="7" t="s">
        <v>2165</v>
      </c>
    </row>
    <row r="60" customFormat="false" ht="15" hidden="false" customHeight="false" outlineLevel="0" collapsed="false">
      <c r="A60" s="7" t="s">
        <v>2283</v>
      </c>
      <c r="B60" s="4" t="s">
        <v>2284</v>
      </c>
      <c r="C60" s="4" t="s">
        <v>2284</v>
      </c>
      <c r="D60" s="4" t="s">
        <v>2162</v>
      </c>
      <c r="E60" s="4" t="s">
        <v>82</v>
      </c>
      <c r="F60" s="13" t="s">
        <v>2163</v>
      </c>
      <c r="G60" s="4" t="s">
        <v>2164</v>
      </c>
      <c r="H60" s="7" t="s">
        <v>2165</v>
      </c>
    </row>
    <row r="61" customFormat="false" ht="15" hidden="false" customHeight="false" outlineLevel="0" collapsed="false">
      <c r="A61" s="7" t="s">
        <v>2285</v>
      </c>
      <c r="B61" s="4" t="s">
        <v>2284</v>
      </c>
      <c r="C61" s="4" t="s">
        <v>2286</v>
      </c>
      <c r="D61" s="4" t="s">
        <v>2162</v>
      </c>
      <c r="E61" s="4" t="s">
        <v>2201</v>
      </c>
      <c r="F61" s="13" t="s">
        <v>2163</v>
      </c>
      <c r="G61" s="4" t="s">
        <v>2164</v>
      </c>
      <c r="H61" s="7" t="s">
        <v>2165</v>
      </c>
    </row>
    <row r="62" customFormat="false" ht="28.35" hidden="false" customHeight="false" outlineLevel="0" collapsed="false">
      <c r="A62" s="7" t="s">
        <v>2287</v>
      </c>
      <c r="B62" s="4" t="s">
        <v>2284</v>
      </c>
      <c r="C62" s="4" t="s">
        <v>2288</v>
      </c>
      <c r="D62" s="4" t="s">
        <v>2162</v>
      </c>
      <c r="E62" s="4" t="s">
        <v>2201</v>
      </c>
      <c r="F62" s="13" t="s">
        <v>2163</v>
      </c>
      <c r="G62" s="4" t="s">
        <v>2164</v>
      </c>
      <c r="H62" s="7" t="s">
        <v>2165</v>
      </c>
    </row>
    <row r="63" customFormat="false" ht="15" hidden="false" customHeight="false" outlineLevel="0" collapsed="false">
      <c r="A63" s="7" t="s">
        <v>2289</v>
      </c>
      <c r="B63" s="4" t="s">
        <v>2284</v>
      </c>
      <c r="C63" s="4" t="s">
        <v>2290</v>
      </c>
      <c r="D63" s="4" t="s">
        <v>2162</v>
      </c>
      <c r="E63" s="4" t="s">
        <v>2201</v>
      </c>
      <c r="F63" s="13" t="s">
        <v>2163</v>
      </c>
      <c r="G63" s="4" t="s">
        <v>2164</v>
      </c>
      <c r="H63" s="7" t="s">
        <v>2165</v>
      </c>
    </row>
    <row r="64" customFormat="false" ht="15" hidden="false" customHeight="false" outlineLevel="0" collapsed="false">
      <c r="A64" s="7" t="s">
        <v>2291</v>
      </c>
      <c r="B64" s="4" t="s">
        <v>2284</v>
      </c>
      <c r="C64" s="4" t="s">
        <v>2292</v>
      </c>
      <c r="D64" s="4" t="s">
        <v>2162</v>
      </c>
      <c r="E64" s="4" t="s">
        <v>2201</v>
      </c>
      <c r="F64" s="13" t="s">
        <v>2163</v>
      </c>
      <c r="G64" s="4" t="s">
        <v>2164</v>
      </c>
      <c r="H64" s="7" t="s">
        <v>2165</v>
      </c>
    </row>
    <row r="65" customFormat="false" ht="15" hidden="false" customHeight="false" outlineLevel="0" collapsed="false">
      <c r="A65" s="7" t="s">
        <v>2293</v>
      </c>
      <c r="B65" s="4" t="s">
        <v>2294</v>
      </c>
      <c r="C65" s="4" t="s">
        <v>2294</v>
      </c>
      <c r="D65" s="4" t="s">
        <v>2162</v>
      </c>
      <c r="E65" s="4" t="s">
        <v>82</v>
      </c>
      <c r="F65" s="13" t="s">
        <v>2163</v>
      </c>
      <c r="G65" s="4" t="s">
        <v>2164</v>
      </c>
      <c r="H65" s="7" t="s">
        <v>2165</v>
      </c>
    </row>
    <row r="66" customFormat="false" ht="41.75" hidden="false" customHeight="false" outlineLevel="0" collapsed="false">
      <c r="A66" s="7" t="s">
        <v>2295</v>
      </c>
      <c r="B66" s="4" t="s">
        <v>2294</v>
      </c>
      <c r="C66" s="4" t="s">
        <v>2296</v>
      </c>
      <c r="D66" s="4" t="s">
        <v>2162</v>
      </c>
      <c r="E66" s="4" t="s">
        <v>132</v>
      </c>
      <c r="F66" s="13" t="s">
        <v>2163</v>
      </c>
      <c r="G66" s="4" t="s">
        <v>2164</v>
      </c>
      <c r="H66" s="7" t="s">
        <v>2165</v>
      </c>
    </row>
    <row r="67" customFormat="false" ht="15" hidden="false" customHeight="false" outlineLevel="0" collapsed="false">
      <c r="A67" s="7" t="s">
        <v>2297</v>
      </c>
      <c r="B67" s="4" t="s">
        <v>2298</v>
      </c>
      <c r="C67" s="4" t="s">
        <v>2298</v>
      </c>
      <c r="D67" s="4" t="s">
        <v>2162</v>
      </c>
      <c r="E67" s="4" t="s">
        <v>82</v>
      </c>
      <c r="F67" s="13" t="s">
        <v>2163</v>
      </c>
      <c r="G67" s="4" t="s">
        <v>2164</v>
      </c>
      <c r="H67" s="7" t="s">
        <v>2165</v>
      </c>
    </row>
    <row r="68" customFormat="false" ht="28.35" hidden="false" customHeight="false" outlineLevel="0" collapsed="false">
      <c r="A68" s="7" t="s">
        <v>2299</v>
      </c>
      <c r="B68" s="4" t="s">
        <v>2298</v>
      </c>
      <c r="C68" s="4" t="s">
        <v>2300</v>
      </c>
      <c r="D68" s="4" t="s">
        <v>2242</v>
      </c>
      <c r="E68" s="4" t="s">
        <v>132</v>
      </c>
      <c r="F68" s="13" t="s">
        <v>2163</v>
      </c>
      <c r="G68" s="4" t="s">
        <v>2164</v>
      </c>
      <c r="H68" s="7" t="s">
        <v>2165</v>
      </c>
    </row>
    <row r="69" customFormat="false" ht="15" hidden="false" customHeight="false" outlineLevel="0" collapsed="false">
      <c r="A69" s="7" t="s">
        <v>2301</v>
      </c>
      <c r="B69" s="4" t="s">
        <v>2298</v>
      </c>
      <c r="C69" s="4" t="s">
        <v>2302</v>
      </c>
      <c r="D69" s="4" t="s">
        <v>2162</v>
      </c>
      <c r="E69" s="4" t="s">
        <v>98</v>
      </c>
      <c r="F69" s="13" t="s">
        <v>2163</v>
      </c>
      <c r="G69" s="4" t="s">
        <v>2164</v>
      </c>
      <c r="H69" s="7" t="s">
        <v>2165</v>
      </c>
    </row>
    <row r="70" customFormat="false" ht="15" hidden="false" customHeight="false" outlineLevel="0" collapsed="false">
      <c r="A70" s="7" t="s">
        <v>2303</v>
      </c>
      <c r="B70" s="4" t="s">
        <v>2298</v>
      </c>
      <c r="C70" s="4" t="s">
        <v>2304</v>
      </c>
      <c r="D70" s="4" t="s">
        <v>2162</v>
      </c>
      <c r="E70" s="4" t="s">
        <v>98</v>
      </c>
      <c r="F70" s="13" t="s">
        <v>2163</v>
      </c>
      <c r="G70" s="4" t="s">
        <v>2164</v>
      </c>
      <c r="H70" s="7" t="s">
        <v>2165</v>
      </c>
    </row>
    <row r="71" customFormat="false" ht="15" hidden="false" customHeight="false" outlineLevel="0" collapsed="false">
      <c r="A71" s="7" t="s">
        <v>2305</v>
      </c>
      <c r="B71" s="4" t="s">
        <v>2298</v>
      </c>
      <c r="C71" s="4" t="s">
        <v>2306</v>
      </c>
      <c r="D71" s="4" t="s">
        <v>2162</v>
      </c>
      <c r="E71" s="4" t="s">
        <v>98</v>
      </c>
      <c r="F71" s="13" t="s">
        <v>2163</v>
      </c>
      <c r="G71" s="4" t="s">
        <v>2164</v>
      </c>
      <c r="H71" s="7" t="s">
        <v>2165</v>
      </c>
    </row>
    <row r="72" customFormat="false" ht="15" hidden="false" customHeight="false" outlineLevel="0" collapsed="false">
      <c r="A72" s="7" t="s">
        <v>2307</v>
      </c>
      <c r="B72" s="4" t="s">
        <v>2298</v>
      </c>
      <c r="C72" s="4" t="s">
        <v>2308</v>
      </c>
      <c r="D72" s="4" t="s">
        <v>2162</v>
      </c>
      <c r="E72" s="4" t="s">
        <v>98</v>
      </c>
      <c r="F72" s="13" t="s">
        <v>2163</v>
      </c>
      <c r="G72" s="4" t="s">
        <v>2164</v>
      </c>
      <c r="H72" s="7" t="s">
        <v>2165</v>
      </c>
    </row>
    <row r="73" customFormat="false" ht="28.35" hidden="false" customHeight="false" outlineLevel="0" collapsed="false">
      <c r="A73" s="7" t="s">
        <v>2309</v>
      </c>
      <c r="B73" s="4" t="s">
        <v>2298</v>
      </c>
      <c r="C73" s="4" t="s">
        <v>2310</v>
      </c>
      <c r="D73" s="4" t="s">
        <v>2162</v>
      </c>
      <c r="E73" s="4" t="s">
        <v>98</v>
      </c>
      <c r="F73" s="13" t="s">
        <v>2163</v>
      </c>
      <c r="G73" s="4" t="s">
        <v>2164</v>
      </c>
      <c r="H73" s="7" t="s">
        <v>2165</v>
      </c>
    </row>
    <row r="74" customFormat="false" ht="15" hidden="false" customHeight="false" outlineLevel="0" collapsed="false">
      <c r="A74" s="7" t="s">
        <v>2311</v>
      </c>
      <c r="B74" s="4" t="s">
        <v>2298</v>
      </c>
      <c r="C74" s="4" t="s">
        <v>2312</v>
      </c>
      <c r="D74" s="4" t="s">
        <v>2313</v>
      </c>
      <c r="E74" s="4" t="s">
        <v>98</v>
      </c>
      <c r="F74" s="13" t="s">
        <v>2163</v>
      </c>
      <c r="G74" s="4" t="s">
        <v>2164</v>
      </c>
      <c r="H74" s="7" t="s">
        <v>2165</v>
      </c>
    </row>
    <row r="75" customFormat="false" ht="15" hidden="false" customHeight="false" outlineLevel="0" collapsed="false">
      <c r="A75" s="7" t="s">
        <v>2314</v>
      </c>
      <c r="B75" s="4" t="s">
        <v>2298</v>
      </c>
      <c r="C75" s="4" t="s">
        <v>2315</v>
      </c>
      <c r="D75" s="4" t="s">
        <v>2162</v>
      </c>
      <c r="E75" s="4" t="s">
        <v>98</v>
      </c>
      <c r="F75" s="13" t="s">
        <v>2163</v>
      </c>
      <c r="G75" s="4" t="s">
        <v>2164</v>
      </c>
      <c r="H75" s="7" t="s">
        <v>2165</v>
      </c>
    </row>
    <row r="76" customFormat="false" ht="28.35" hidden="false" customHeight="false" outlineLevel="0" collapsed="false">
      <c r="A76" s="7" t="s">
        <v>2316</v>
      </c>
      <c r="B76" s="4" t="s">
        <v>2298</v>
      </c>
      <c r="C76" s="4" t="s">
        <v>2317</v>
      </c>
      <c r="D76" s="4" t="s">
        <v>2162</v>
      </c>
      <c r="E76" s="4" t="s">
        <v>98</v>
      </c>
      <c r="F76" s="13" t="s">
        <v>2163</v>
      </c>
      <c r="G76" s="4" t="s">
        <v>2164</v>
      </c>
      <c r="H76" s="7" t="s">
        <v>2165</v>
      </c>
    </row>
    <row r="77" customFormat="false" ht="15" hidden="false" customHeight="false" outlineLevel="0" collapsed="false">
      <c r="A77" s="7" t="s">
        <v>2318</v>
      </c>
      <c r="B77" s="4" t="s">
        <v>2319</v>
      </c>
      <c r="C77" s="4" t="s">
        <v>2319</v>
      </c>
      <c r="D77" s="4" t="s">
        <v>2162</v>
      </c>
      <c r="E77" s="4" t="s">
        <v>82</v>
      </c>
      <c r="F77" s="13" t="s">
        <v>2163</v>
      </c>
      <c r="G77" s="4" t="s">
        <v>2164</v>
      </c>
      <c r="H77" s="7" t="s">
        <v>2165</v>
      </c>
    </row>
    <row r="78" customFormat="false" ht="28.35" hidden="false" customHeight="false" outlineLevel="0" collapsed="false">
      <c r="A78" s="7" t="s">
        <v>2320</v>
      </c>
      <c r="B78" s="4" t="s">
        <v>2319</v>
      </c>
      <c r="C78" s="4" t="s">
        <v>2321</v>
      </c>
      <c r="D78" s="4" t="s">
        <v>2162</v>
      </c>
      <c r="E78" s="4" t="s">
        <v>132</v>
      </c>
      <c r="F78" s="13" t="s">
        <v>2163</v>
      </c>
      <c r="G78" s="4" t="s">
        <v>2164</v>
      </c>
      <c r="H78" s="7" t="s">
        <v>2165</v>
      </c>
    </row>
    <row r="79" customFormat="false" ht="15" hidden="false" customHeight="false" outlineLevel="0" collapsed="false">
      <c r="A79" s="7" t="s">
        <v>2322</v>
      </c>
      <c r="B79" s="4" t="s">
        <v>2319</v>
      </c>
      <c r="C79" s="4" t="s">
        <v>2323</v>
      </c>
      <c r="D79" s="4" t="s">
        <v>2162</v>
      </c>
      <c r="E79" s="4" t="s">
        <v>98</v>
      </c>
      <c r="F79" s="13" t="s">
        <v>2163</v>
      </c>
      <c r="G79" s="4" t="s">
        <v>2164</v>
      </c>
      <c r="H79" s="7" t="s">
        <v>2165</v>
      </c>
    </row>
    <row r="80" customFormat="false" ht="15" hidden="false" customHeight="false" outlineLevel="0" collapsed="false">
      <c r="A80" s="7" t="s">
        <v>2324</v>
      </c>
      <c r="B80" s="4" t="s">
        <v>2319</v>
      </c>
      <c r="C80" s="4" t="s">
        <v>2325</v>
      </c>
      <c r="D80" s="4" t="s">
        <v>2162</v>
      </c>
      <c r="E80" s="4" t="s">
        <v>98</v>
      </c>
      <c r="F80" s="13" t="s">
        <v>2163</v>
      </c>
      <c r="G80" s="4" t="s">
        <v>2164</v>
      </c>
      <c r="H80" s="7" t="s">
        <v>2165</v>
      </c>
    </row>
    <row r="81" customFormat="false" ht="15" hidden="false" customHeight="false" outlineLevel="0" collapsed="false">
      <c r="A81" s="7" t="s">
        <v>2326</v>
      </c>
      <c r="B81" s="4" t="s">
        <v>2319</v>
      </c>
      <c r="C81" s="4" t="s">
        <v>2327</v>
      </c>
      <c r="D81" s="4" t="s">
        <v>2162</v>
      </c>
      <c r="E81" s="4" t="s">
        <v>98</v>
      </c>
      <c r="F81" s="13" t="s">
        <v>2163</v>
      </c>
      <c r="G81" s="4" t="s">
        <v>2164</v>
      </c>
      <c r="H81" s="7" t="s">
        <v>2165</v>
      </c>
    </row>
    <row r="82" customFormat="false" ht="15" hidden="false" customHeight="false" outlineLevel="0" collapsed="false">
      <c r="A82" s="7" t="s">
        <v>2328</v>
      </c>
      <c r="B82" s="4" t="s">
        <v>2319</v>
      </c>
      <c r="C82" s="4" t="s">
        <v>2329</v>
      </c>
      <c r="D82" s="4" t="s">
        <v>2162</v>
      </c>
      <c r="E82" s="4" t="s">
        <v>98</v>
      </c>
      <c r="F82" s="13" t="s">
        <v>2163</v>
      </c>
      <c r="G82" s="4" t="s">
        <v>2164</v>
      </c>
      <c r="H82" s="7" t="s">
        <v>2165</v>
      </c>
    </row>
    <row r="83" customFormat="false" ht="28.35" hidden="false" customHeight="false" outlineLevel="0" collapsed="false">
      <c r="A83" s="7" t="s">
        <v>2330</v>
      </c>
      <c r="B83" s="4" t="s">
        <v>2319</v>
      </c>
      <c r="C83" s="4" t="s">
        <v>2331</v>
      </c>
      <c r="D83" s="4" t="s">
        <v>2237</v>
      </c>
      <c r="E83" s="4" t="s">
        <v>132</v>
      </c>
      <c r="F83" s="13" t="s">
        <v>2163</v>
      </c>
      <c r="G83" s="4" t="s">
        <v>2164</v>
      </c>
      <c r="H83" s="7" t="s">
        <v>2165</v>
      </c>
    </row>
    <row r="84" customFormat="false" ht="15" hidden="false" customHeight="false" outlineLevel="0" collapsed="false">
      <c r="A84" s="7" t="s">
        <v>2332</v>
      </c>
      <c r="B84" s="4" t="s">
        <v>2333</v>
      </c>
      <c r="C84" s="4" t="s">
        <v>2333</v>
      </c>
      <c r="D84" s="4" t="s">
        <v>2188</v>
      </c>
      <c r="E84" s="4" t="s">
        <v>82</v>
      </c>
      <c r="F84" s="13" t="s">
        <v>2163</v>
      </c>
      <c r="G84" s="4" t="s">
        <v>2164</v>
      </c>
      <c r="H84" s="7" t="s">
        <v>2165</v>
      </c>
    </row>
    <row r="85" customFormat="false" ht="41.75" hidden="false" customHeight="false" outlineLevel="0" collapsed="false">
      <c r="A85" s="7" t="s">
        <v>2334</v>
      </c>
      <c r="B85" s="4" t="s">
        <v>2333</v>
      </c>
      <c r="C85" s="4" t="s">
        <v>2335</v>
      </c>
      <c r="D85" s="4" t="s">
        <v>2188</v>
      </c>
      <c r="E85" s="4" t="s">
        <v>132</v>
      </c>
      <c r="F85" s="13" t="s">
        <v>2163</v>
      </c>
      <c r="G85" s="4" t="s">
        <v>2164</v>
      </c>
      <c r="H85" s="7" t="s">
        <v>2165</v>
      </c>
    </row>
    <row r="86" customFormat="false" ht="15" hidden="false" customHeight="false" outlineLevel="0" collapsed="false">
      <c r="A86" s="7" t="s">
        <v>2336</v>
      </c>
      <c r="B86" s="4" t="s">
        <v>2333</v>
      </c>
      <c r="C86" s="4" t="s">
        <v>2337</v>
      </c>
      <c r="D86" s="4" t="s">
        <v>2188</v>
      </c>
      <c r="E86" s="4" t="s">
        <v>98</v>
      </c>
      <c r="F86" s="13" t="s">
        <v>2163</v>
      </c>
      <c r="G86" s="4" t="s">
        <v>2164</v>
      </c>
      <c r="H86" s="7" t="s">
        <v>2165</v>
      </c>
    </row>
    <row r="87" customFormat="false" ht="28.35" hidden="false" customHeight="false" outlineLevel="0" collapsed="false">
      <c r="A87" s="7" t="s">
        <v>2338</v>
      </c>
      <c r="B87" s="4" t="s">
        <v>2333</v>
      </c>
      <c r="C87" s="4" t="s">
        <v>2339</v>
      </c>
      <c r="D87" s="4" t="s">
        <v>2255</v>
      </c>
      <c r="E87" s="4" t="s">
        <v>98</v>
      </c>
      <c r="F87" s="13" t="s">
        <v>2163</v>
      </c>
      <c r="G87" s="4" t="s">
        <v>2164</v>
      </c>
      <c r="H87" s="7" t="s">
        <v>2165</v>
      </c>
    </row>
    <row r="88" customFormat="false" ht="41.75" hidden="false" customHeight="false" outlineLevel="0" collapsed="false">
      <c r="A88" s="7" t="s">
        <v>2340</v>
      </c>
      <c r="B88" s="4" t="s">
        <v>2333</v>
      </c>
      <c r="C88" s="4" t="s">
        <v>2341</v>
      </c>
      <c r="D88" s="4" t="s">
        <v>2237</v>
      </c>
      <c r="E88" s="4" t="s">
        <v>98</v>
      </c>
      <c r="F88" s="13" t="s">
        <v>2163</v>
      </c>
      <c r="G88" s="4" t="s">
        <v>2164</v>
      </c>
      <c r="H88" s="7" t="s">
        <v>2165</v>
      </c>
    </row>
    <row r="89" customFormat="false" ht="41.75" hidden="false" customHeight="false" outlineLevel="0" collapsed="false">
      <c r="A89" s="7" t="s">
        <v>2342</v>
      </c>
      <c r="B89" s="4" t="s">
        <v>2333</v>
      </c>
      <c r="C89" s="4" t="s">
        <v>2343</v>
      </c>
      <c r="D89" s="4" t="s">
        <v>2242</v>
      </c>
      <c r="E89" s="4" t="s">
        <v>98</v>
      </c>
      <c r="F89" s="13" t="s">
        <v>2163</v>
      </c>
      <c r="G89" s="4" t="s">
        <v>2164</v>
      </c>
      <c r="H89" s="7" t="s">
        <v>2165</v>
      </c>
    </row>
    <row r="90" customFormat="false" ht="15" hidden="false" customHeight="false" outlineLevel="0" collapsed="false">
      <c r="A90" s="7" t="s">
        <v>2344</v>
      </c>
      <c r="B90" s="4" t="s">
        <v>2345</v>
      </c>
      <c r="C90" s="4" t="s">
        <v>2345</v>
      </c>
      <c r="D90" s="4" t="s">
        <v>2188</v>
      </c>
      <c r="E90" s="4" t="s">
        <v>82</v>
      </c>
      <c r="F90" s="13" t="s">
        <v>2163</v>
      </c>
      <c r="G90" s="4" t="s">
        <v>2164</v>
      </c>
      <c r="H90" s="7" t="s">
        <v>2165</v>
      </c>
    </row>
    <row r="91" customFormat="false" ht="15" hidden="false" customHeight="false" outlineLevel="0" collapsed="false">
      <c r="A91" s="7" t="s">
        <v>2346</v>
      </c>
      <c r="B91" s="4" t="s">
        <v>2345</v>
      </c>
      <c r="C91" s="4" t="s">
        <v>2347</v>
      </c>
      <c r="D91" s="4" t="s">
        <v>2188</v>
      </c>
      <c r="E91" s="4" t="s">
        <v>132</v>
      </c>
      <c r="F91" s="13" t="s">
        <v>2163</v>
      </c>
      <c r="G91" s="4" t="s">
        <v>2164</v>
      </c>
      <c r="H91" s="7" t="s">
        <v>2165</v>
      </c>
    </row>
    <row r="92" customFormat="false" ht="15" hidden="false" customHeight="false" outlineLevel="0" collapsed="false">
      <c r="A92" s="7" t="s">
        <v>2348</v>
      </c>
      <c r="B92" s="4" t="s">
        <v>2345</v>
      </c>
      <c r="C92" s="4" t="s">
        <v>2349</v>
      </c>
      <c r="D92" s="4" t="s">
        <v>2188</v>
      </c>
      <c r="E92" s="4" t="s">
        <v>2201</v>
      </c>
      <c r="F92" s="13" t="s">
        <v>2163</v>
      </c>
      <c r="G92" s="4" t="s">
        <v>2164</v>
      </c>
      <c r="H92" s="7" t="s">
        <v>2165</v>
      </c>
    </row>
    <row r="93" customFormat="false" ht="28.35" hidden="false" customHeight="false" outlineLevel="0" collapsed="false">
      <c r="A93" s="7" t="s">
        <v>2350</v>
      </c>
      <c r="B93" s="4" t="s">
        <v>2345</v>
      </c>
      <c r="C93" s="4" t="s">
        <v>2351</v>
      </c>
      <c r="D93" s="4" t="s">
        <v>2237</v>
      </c>
      <c r="E93" s="4" t="s">
        <v>2201</v>
      </c>
      <c r="F93" s="13" t="s">
        <v>2163</v>
      </c>
      <c r="G93" s="4" t="s">
        <v>2164</v>
      </c>
      <c r="H93" s="7" t="s">
        <v>2165</v>
      </c>
    </row>
    <row r="94" customFormat="false" ht="15" hidden="false" customHeight="false" outlineLevel="0" collapsed="false">
      <c r="A94" s="7" t="s">
        <v>2352</v>
      </c>
      <c r="B94" s="4" t="s">
        <v>2345</v>
      </c>
      <c r="C94" s="4" t="s">
        <v>2353</v>
      </c>
      <c r="D94" s="4" t="s">
        <v>2162</v>
      </c>
      <c r="E94" s="4" t="s">
        <v>2201</v>
      </c>
      <c r="F94" s="13" t="s">
        <v>2163</v>
      </c>
      <c r="G94" s="4" t="s">
        <v>2164</v>
      </c>
      <c r="H94" s="7" t="s">
        <v>2165</v>
      </c>
    </row>
    <row r="95" customFormat="false" ht="15" hidden="false" customHeight="false" outlineLevel="0" collapsed="false">
      <c r="A95" s="7" t="s">
        <v>2354</v>
      </c>
      <c r="B95" s="4" t="s">
        <v>2345</v>
      </c>
      <c r="C95" s="4" t="s">
        <v>2355</v>
      </c>
      <c r="D95" s="4" t="s">
        <v>2162</v>
      </c>
      <c r="E95" s="4" t="s">
        <v>2201</v>
      </c>
      <c r="F95" s="13" t="s">
        <v>2163</v>
      </c>
      <c r="G95" s="4" t="s">
        <v>2164</v>
      </c>
      <c r="H95" s="7" t="s">
        <v>2165</v>
      </c>
    </row>
    <row r="96" customFormat="false" ht="15" hidden="false" customHeight="false" outlineLevel="0" collapsed="false">
      <c r="A96" s="7" t="s">
        <v>2356</v>
      </c>
      <c r="B96" s="4" t="s">
        <v>2345</v>
      </c>
      <c r="C96" s="4" t="s">
        <v>2357</v>
      </c>
      <c r="D96" s="4" t="s">
        <v>2162</v>
      </c>
      <c r="E96" s="4" t="s">
        <v>2201</v>
      </c>
      <c r="F96" s="13" t="s">
        <v>2163</v>
      </c>
      <c r="G96" s="4" t="s">
        <v>2164</v>
      </c>
      <c r="H96" s="7" t="s">
        <v>2165</v>
      </c>
    </row>
    <row r="97" customFormat="false" ht="41.75" hidden="false" customHeight="false" outlineLevel="0" collapsed="false">
      <c r="A97" s="7" t="s">
        <v>2358</v>
      </c>
      <c r="B97" s="4" t="s">
        <v>2345</v>
      </c>
      <c r="C97" s="4" t="s">
        <v>2359</v>
      </c>
      <c r="D97" s="4" t="s">
        <v>2188</v>
      </c>
      <c r="E97" s="4" t="s">
        <v>98</v>
      </c>
      <c r="F97" s="13" t="s">
        <v>2163</v>
      </c>
      <c r="G97" s="4" t="s">
        <v>2164</v>
      </c>
      <c r="H97" s="7" t="s">
        <v>2165</v>
      </c>
    </row>
    <row r="98" customFormat="false" ht="15" hidden="false" customHeight="false" outlineLevel="0" collapsed="false">
      <c r="A98" s="7" t="s">
        <v>2360</v>
      </c>
      <c r="B98" s="4" t="s">
        <v>2361</v>
      </c>
      <c r="C98" s="4" t="s">
        <v>2361</v>
      </c>
      <c r="D98" s="4" t="s">
        <v>2188</v>
      </c>
      <c r="E98" s="4" t="s">
        <v>82</v>
      </c>
      <c r="F98" s="13" t="s">
        <v>2163</v>
      </c>
      <c r="G98" s="4" t="s">
        <v>2164</v>
      </c>
      <c r="H98" s="7" t="s">
        <v>2165</v>
      </c>
    </row>
    <row r="99" customFormat="false" ht="15" hidden="false" customHeight="false" outlineLevel="0" collapsed="false">
      <c r="A99" s="7" t="s">
        <v>2362</v>
      </c>
      <c r="B99" s="4" t="s">
        <v>2361</v>
      </c>
      <c r="C99" s="4" t="s">
        <v>2363</v>
      </c>
      <c r="D99" s="4" t="s">
        <v>2162</v>
      </c>
      <c r="E99" s="4" t="s">
        <v>2201</v>
      </c>
      <c r="F99" s="13" t="s">
        <v>2163</v>
      </c>
      <c r="G99" s="4" t="s">
        <v>2164</v>
      </c>
      <c r="H99" s="7" t="s">
        <v>2165</v>
      </c>
    </row>
    <row r="100" customFormat="false" ht="15" hidden="false" customHeight="false" outlineLevel="0" collapsed="false">
      <c r="A100" s="7" t="s">
        <v>2364</v>
      </c>
      <c r="B100" s="4" t="s">
        <v>2361</v>
      </c>
      <c r="C100" s="4" t="s">
        <v>2365</v>
      </c>
      <c r="D100" s="4" t="s">
        <v>2162</v>
      </c>
      <c r="E100" s="4" t="s">
        <v>2201</v>
      </c>
      <c r="F100" s="13" t="s">
        <v>2163</v>
      </c>
      <c r="G100" s="4" t="s">
        <v>2164</v>
      </c>
      <c r="H100" s="7" t="s">
        <v>2165</v>
      </c>
    </row>
    <row r="101" customFormat="false" ht="15" hidden="false" customHeight="false" outlineLevel="0" collapsed="false">
      <c r="A101" s="7" t="s">
        <v>2366</v>
      </c>
      <c r="B101" s="4" t="s">
        <v>2361</v>
      </c>
      <c r="C101" s="4" t="s">
        <v>2367</v>
      </c>
      <c r="D101" s="4" t="s">
        <v>2188</v>
      </c>
      <c r="E101" s="4" t="s">
        <v>2201</v>
      </c>
      <c r="F101" s="13" t="s">
        <v>2163</v>
      </c>
      <c r="G101" s="4" t="s">
        <v>2164</v>
      </c>
      <c r="H101" s="7" t="s">
        <v>2165</v>
      </c>
    </row>
    <row r="102" customFormat="false" ht="15" hidden="false" customHeight="false" outlineLevel="0" collapsed="false">
      <c r="A102" s="7" t="s">
        <v>2368</v>
      </c>
      <c r="B102" s="4" t="s">
        <v>2361</v>
      </c>
      <c r="C102" s="4" t="s">
        <v>2369</v>
      </c>
      <c r="D102" s="4" t="s">
        <v>2162</v>
      </c>
      <c r="E102" s="4" t="s">
        <v>2201</v>
      </c>
      <c r="F102" s="13" t="s">
        <v>2163</v>
      </c>
      <c r="G102" s="4" t="s">
        <v>2164</v>
      </c>
      <c r="H102" s="7" t="s">
        <v>2165</v>
      </c>
    </row>
    <row r="103" customFormat="false" ht="15" hidden="false" customHeight="false" outlineLevel="0" collapsed="false">
      <c r="A103" s="7" t="s">
        <v>2370</v>
      </c>
      <c r="B103" s="4" t="s">
        <v>2361</v>
      </c>
      <c r="C103" s="4" t="s">
        <v>2371</v>
      </c>
      <c r="D103" s="4" t="s">
        <v>2162</v>
      </c>
      <c r="E103" s="4" t="s">
        <v>2201</v>
      </c>
      <c r="F103" s="13" t="s">
        <v>2163</v>
      </c>
      <c r="G103" s="4" t="s">
        <v>2164</v>
      </c>
      <c r="H103" s="7" t="s">
        <v>2165</v>
      </c>
    </row>
    <row r="104" customFormat="false" ht="15" hidden="false" customHeight="false" outlineLevel="0" collapsed="false">
      <c r="A104" s="7" t="s">
        <v>2372</v>
      </c>
      <c r="B104" s="4" t="s">
        <v>2361</v>
      </c>
      <c r="C104" s="4" t="s">
        <v>2373</v>
      </c>
      <c r="D104" s="4" t="s">
        <v>2162</v>
      </c>
      <c r="E104" s="4" t="s">
        <v>2201</v>
      </c>
      <c r="F104" s="13" t="s">
        <v>2163</v>
      </c>
      <c r="G104" s="4" t="s">
        <v>2164</v>
      </c>
      <c r="H104" s="7" t="s">
        <v>2165</v>
      </c>
    </row>
    <row r="105" customFormat="false" ht="15" hidden="false" customHeight="false" outlineLevel="0" collapsed="false">
      <c r="A105" s="7" t="s">
        <v>2374</v>
      </c>
      <c r="B105" s="4" t="s">
        <v>2361</v>
      </c>
      <c r="C105" s="4" t="s">
        <v>2375</v>
      </c>
      <c r="D105" s="4" t="s">
        <v>2162</v>
      </c>
      <c r="E105" s="4" t="s">
        <v>2201</v>
      </c>
      <c r="F105" s="13" t="s">
        <v>2163</v>
      </c>
      <c r="G105" s="4" t="s">
        <v>2164</v>
      </c>
      <c r="H105" s="7" t="s">
        <v>2165</v>
      </c>
    </row>
    <row r="106" customFormat="false" ht="15" hidden="false" customHeight="false" outlineLevel="0" collapsed="false">
      <c r="A106" s="7" t="s">
        <v>2376</v>
      </c>
      <c r="B106" s="4" t="s">
        <v>2377</v>
      </c>
      <c r="C106" s="4" t="s">
        <v>2377</v>
      </c>
      <c r="D106" s="4" t="s">
        <v>2162</v>
      </c>
      <c r="E106" s="4" t="s">
        <v>82</v>
      </c>
      <c r="F106" s="13" t="s">
        <v>2163</v>
      </c>
      <c r="G106" s="4" t="s">
        <v>2164</v>
      </c>
      <c r="H106" s="7" t="s">
        <v>2165</v>
      </c>
    </row>
    <row r="107" customFormat="false" ht="15" hidden="false" customHeight="false" outlineLevel="0" collapsed="false">
      <c r="A107" s="7" t="s">
        <v>2378</v>
      </c>
      <c r="B107" s="4" t="s">
        <v>2377</v>
      </c>
      <c r="C107" s="4" t="s">
        <v>2379</v>
      </c>
      <c r="D107" s="4" t="s">
        <v>2162</v>
      </c>
      <c r="E107" s="4" t="s">
        <v>2201</v>
      </c>
      <c r="F107" s="13" t="s">
        <v>2163</v>
      </c>
      <c r="G107" s="4" t="s">
        <v>2164</v>
      </c>
      <c r="H107" s="7" t="s">
        <v>2165</v>
      </c>
    </row>
    <row r="108" customFormat="false" ht="15" hidden="false" customHeight="false" outlineLevel="0" collapsed="false">
      <c r="A108" s="7" t="s">
        <v>2380</v>
      </c>
      <c r="B108" s="4" t="s">
        <v>2377</v>
      </c>
      <c r="C108" s="4" t="s">
        <v>2381</v>
      </c>
      <c r="D108" s="4" t="s">
        <v>2162</v>
      </c>
      <c r="E108" s="4" t="s">
        <v>2201</v>
      </c>
      <c r="F108" s="13" t="s">
        <v>2163</v>
      </c>
      <c r="G108" s="4" t="s">
        <v>2164</v>
      </c>
      <c r="H108" s="7" t="s">
        <v>2165</v>
      </c>
    </row>
    <row r="109" customFormat="false" ht="28.35" hidden="false" customHeight="false" outlineLevel="0" collapsed="false">
      <c r="A109" s="7" t="s">
        <v>2382</v>
      </c>
      <c r="B109" s="4" t="s">
        <v>2377</v>
      </c>
      <c r="C109" s="4" t="s">
        <v>2383</v>
      </c>
      <c r="D109" s="4" t="s">
        <v>2162</v>
      </c>
      <c r="E109" s="4" t="s">
        <v>2201</v>
      </c>
      <c r="F109" s="13" t="s">
        <v>2163</v>
      </c>
      <c r="G109" s="4" t="s">
        <v>2164</v>
      </c>
      <c r="H109" s="7" t="s">
        <v>2165</v>
      </c>
    </row>
    <row r="110" customFormat="false" ht="15" hidden="false" customHeight="false" outlineLevel="0" collapsed="false">
      <c r="A110" s="7" t="s">
        <v>2384</v>
      </c>
      <c r="B110" s="4" t="s">
        <v>2377</v>
      </c>
      <c r="C110" s="4" t="s">
        <v>2385</v>
      </c>
      <c r="D110" s="4" t="s">
        <v>2162</v>
      </c>
      <c r="E110" s="4" t="s">
        <v>2201</v>
      </c>
      <c r="F110" s="13" t="s">
        <v>2163</v>
      </c>
      <c r="G110" s="4" t="s">
        <v>2164</v>
      </c>
      <c r="H110" s="7" t="s">
        <v>2165</v>
      </c>
    </row>
    <row r="111" customFormat="false" ht="15" hidden="false" customHeight="false" outlineLevel="0" collapsed="false">
      <c r="A111" s="7" t="s">
        <v>2386</v>
      </c>
      <c r="B111" s="4" t="s">
        <v>2377</v>
      </c>
      <c r="C111" s="4" t="s">
        <v>2387</v>
      </c>
      <c r="D111" s="4" t="s">
        <v>2162</v>
      </c>
      <c r="E111" s="4" t="s">
        <v>2201</v>
      </c>
      <c r="F111" s="13" t="s">
        <v>2163</v>
      </c>
      <c r="G111" s="4" t="s">
        <v>2164</v>
      </c>
      <c r="H111" s="7" t="s">
        <v>2165</v>
      </c>
    </row>
    <row r="112" customFormat="false" ht="28.35" hidden="false" customHeight="false" outlineLevel="0" collapsed="false">
      <c r="A112" s="7" t="s">
        <v>2388</v>
      </c>
      <c r="B112" s="4" t="s">
        <v>2377</v>
      </c>
      <c r="C112" s="4" t="s">
        <v>2389</v>
      </c>
      <c r="D112" s="4" t="s">
        <v>2262</v>
      </c>
      <c r="E112" s="4" t="s">
        <v>2201</v>
      </c>
      <c r="F112" s="13" t="s">
        <v>2163</v>
      </c>
      <c r="G112" s="4" t="s">
        <v>2164</v>
      </c>
      <c r="H112" s="7" t="s">
        <v>2165</v>
      </c>
    </row>
    <row r="113" customFormat="false" ht="15" hidden="false" customHeight="false" outlineLevel="0" collapsed="false">
      <c r="A113" s="7" t="s">
        <v>2390</v>
      </c>
      <c r="B113" s="4" t="s">
        <v>2391</v>
      </c>
      <c r="C113" s="4" t="s">
        <v>2391</v>
      </c>
      <c r="D113" s="4" t="s">
        <v>2162</v>
      </c>
      <c r="E113" s="4" t="s">
        <v>82</v>
      </c>
      <c r="F113" s="13" t="s">
        <v>2163</v>
      </c>
      <c r="G113" s="4" t="s">
        <v>2164</v>
      </c>
      <c r="H113" s="7" t="s">
        <v>2165</v>
      </c>
    </row>
    <row r="114" customFormat="false" ht="15" hidden="false" customHeight="false" outlineLevel="0" collapsed="false">
      <c r="A114" s="7" t="s">
        <v>2392</v>
      </c>
      <c r="B114" s="4" t="s">
        <v>2393</v>
      </c>
      <c r="C114" s="4" t="s">
        <v>2393</v>
      </c>
      <c r="D114" s="4" t="s">
        <v>2162</v>
      </c>
      <c r="E114" s="4" t="s">
        <v>82</v>
      </c>
      <c r="F114" s="13" t="s">
        <v>2163</v>
      </c>
      <c r="G114" s="4" t="s">
        <v>2164</v>
      </c>
      <c r="H114" s="7" t="s">
        <v>2165</v>
      </c>
    </row>
    <row r="115" customFormat="false" ht="28.35" hidden="false" customHeight="false" outlineLevel="0" collapsed="false">
      <c r="A115" s="7" t="s">
        <v>2394</v>
      </c>
      <c r="B115" s="4" t="s">
        <v>2393</v>
      </c>
      <c r="C115" s="4" t="s">
        <v>2395</v>
      </c>
      <c r="D115" s="4" t="s">
        <v>2162</v>
      </c>
      <c r="E115" s="4" t="s">
        <v>132</v>
      </c>
      <c r="F115" s="13" t="s">
        <v>2163</v>
      </c>
      <c r="G115" s="4" t="s">
        <v>2164</v>
      </c>
      <c r="H115" s="7" t="s">
        <v>2165</v>
      </c>
    </row>
    <row r="116" customFormat="false" ht="15" hidden="false" customHeight="false" outlineLevel="0" collapsed="false">
      <c r="A116" s="7" t="s">
        <v>2396</v>
      </c>
      <c r="B116" s="4" t="s">
        <v>2393</v>
      </c>
      <c r="C116" s="4" t="s">
        <v>2397</v>
      </c>
      <c r="D116" s="4" t="s">
        <v>2162</v>
      </c>
      <c r="E116" s="4" t="s">
        <v>98</v>
      </c>
      <c r="F116" s="13" t="s">
        <v>2163</v>
      </c>
      <c r="G116" s="4" t="s">
        <v>2164</v>
      </c>
      <c r="H116" s="7" t="s">
        <v>2165</v>
      </c>
    </row>
    <row r="117" customFormat="false" ht="28.35" hidden="false" customHeight="false" outlineLevel="0" collapsed="false">
      <c r="A117" s="7" t="s">
        <v>2398</v>
      </c>
      <c r="B117" s="4" t="s">
        <v>2393</v>
      </c>
      <c r="C117" s="4" t="s">
        <v>2399</v>
      </c>
      <c r="D117" s="4" t="s">
        <v>2162</v>
      </c>
      <c r="E117" s="4" t="s">
        <v>98</v>
      </c>
      <c r="F117" s="13" t="s">
        <v>2163</v>
      </c>
      <c r="G117" s="4" t="s">
        <v>2164</v>
      </c>
      <c r="H117" s="7" t="s">
        <v>2165</v>
      </c>
    </row>
    <row r="118" customFormat="false" ht="15" hidden="false" customHeight="false" outlineLevel="0" collapsed="false">
      <c r="A118" s="7" t="s">
        <v>2400</v>
      </c>
      <c r="B118" s="4" t="s">
        <v>2393</v>
      </c>
      <c r="C118" s="4" t="s">
        <v>2401</v>
      </c>
      <c r="D118" s="4" t="s">
        <v>2262</v>
      </c>
      <c r="E118" s="4" t="s">
        <v>98</v>
      </c>
      <c r="F118" s="13" t="s">
        <v>2163</v>
      </c>
      <c r="G118" s="4" t="s">
        <v>2164</v>
      </c>
      <c r="H118" s="7" t="s">
        <v>2165</v>
      </c>
    </row>
    <row r="119" customFormat="false" ht="15" hidden="false" customHeight="false" outlineLevel="0" collapsed="false">
      <c r="A119" s="7" t="s">
        <v>2402</v>
      </c>
      <c r="B119" s="4" t="s">
        <v>2403</v>
      </c>
      <c r="C119" s="4" t="s">
        <v>2403</v>
      </c>
      <c r="D119" s="4" t="s">
        <v>2162</v>
      </c>
      <c r="E119" s="4" t="s">
        <v>82</v>
      </c>
      <c r="F119" s="13" t="s">
        <v>2163</v>
      </c>
      <c r="G119" s="4" t="s">
        <v>2164</v>
      </c>
      <c r="H119" s="7" t="s">
        <v>2165</v>
      </c>
    </row>
    <row r="120" customFormat="false" ht="15" hidden="false" customHeight="false" outlineLevel="0" collapsed="false">
      <c r="A120" s="7" t="s">
        <v>2404</v>
      </c>
      <c r="B120" s="4" t="s">
        <v>2403</v>
      </c>
      <c r="C120" s="4" t="s">
        <v>2405</v>
      </c>
      <c r="D120" s="4" t="s">
        <v>2162</v>
      </c>
      <c r="E120" s="4" t="s">
        <v>2201</v>
      </c>
      <c r="F120" s="13" t="s">
        <v>2163</v>
      </c>
      <c r="G120" s="4" t="s">
        <v>2164</v>
      </c>
      <c r="H120" s="7" t="s">
        <v>2165</v>
      </c>
    </row>
    <row r="121" customFormat="false" ht="15" hidden="false" customHeight="false" outlineLevel="0" collapsed="false">
      <c r="A121" s="7" t="s">
        <v>2406</v>
      </c>
      <c r="B121" s="4" t="s">
        <v>2403</v>
      </c>
      <c r="C121" s="4" t="s">
        <v>2407</v>
      </c>
      <c r="D121" s="4" t="s">
        <v>2162</v>
      </c>
      <c r="E121" s="4" t="s">
        <v>2201</v>
      </c>
      <c r="F121" s="13" t="s">
        <v>2163</v>
      </c>
      <c r="G121" s="4" t="s">
        <v>2164</v>
      </c>
      <c r="H121" s="7" t="s">
        <v>2165</v>
      </c>
    </row>
    <row r="122" customFormat="false" ht="28.35" hidden="false" customHeight="false" outlineLevel="0" collapsed="false">
      <c r="A122" s="7" t="s">
        <v>2408</v>
      </c>
      <c r="B122" s="4" t="s">
        <v>2403</v>
      </c>
      <c r="C122" s="4" t="s">
        <v>2409</v>
      </c>
      <c r="D122" s="4" t="s">
        <v>2162</v>
      </c>
      <c r="E122" s="4" t="s">
        <v>2201</v>
      </c>
      <c r="F122" s="13" t="s">
        <v>2163</v>
      </c>
      <c r="G122" s="4" t="s">
        <v>2164</v>
      </c>
      <c r="H122" s="7" t="s">
        <v>2165</v>
      </c>
    </row>
    <row r="123" customFormat="false" ht="28.35" hidden="false" customHeight="false" outlineLevel="0" collapsed="false">
      <c r="A123" s="7" t="s">
        <v>2410</v>
      </c>
      <c r="B123" s="4" t="s">
        <v>2403</v>
      </c>
      <c r="C123" s="4" t="s">
        <v>2411</v>
      </c>
      <c r="D123" s="4" t="s">
        <v>2262</v>
      </c>
      <c r="E123" s="4" t="s">
        <v>2201</v>
      </c>
      <c r="F123" s="13" t="s">
        <v>2163</v>
      </c>
      <c r="G123" s="4" t="s">
        <v>2164</v>
      </c>
      <c r="H123" s="7" t="s">
        <v>2165</v>
      </c>
    </row>
    <row r="124" customFormat="false" ht="28.35" hidden="false" customHeight="false" outlineLevel="0" collapsed="false">
      <c r="A124" s="7" t="s">
        <v>2412</v>
      </c>
      <c r="B124" s="4" t="s">
        <v>2403</v>
      </c>
      <c r="C124" s="4" t="s">
        <v>2413</v>
      </c>
      <c r="D124" s="4" t="s">
        <v>2162</v>
      </c>
      <c r="E124" s="4" t="s">
        <v>2201</v>
      </c>
      <c r="F124" s="13" t="s">
        <v>2163</v>
      </c>
      <c r="G124" s="4" t="s">
        <v>2164</v>
      </c>
      <c r="H124" s="7" t="s">
        <v>2165</v>
      </c>
    </row>
    <row r="125" customFormat="false" ht="15" hidden="false" customHeight="false" outlineLevel="0" collapsed="false">
      <c r="A125" s="7" t="s">
        <v>2414</v>
      </c>
      <c r="B125" s="4" t="s">
        <v>2415</v>
      </c>
      <c r="C125" s="4" t="s">
        <v>2415</v>
      </c>
      <c r="D125" s="4" t="s">
        <v>2262</v>
      </c>
      <c r="E125" s="4" t="s">
        <v>82</v>
      </c>
      <c r="F125" s="13" t="s">
        <v>2163</v>
      </c>
      <c r="G125" s="4" t="s">
        <v>2164</v>
      </c>
      <c r="H125" s="7" t="s">
        <v>2165</v>
      </c>
    </row>
    <row r="126" customFormat="false" ht="41.75" hidden="false" customHeight="false" outlineLevel="0" collapsed="false">
      <c r="A126" s="7" t="s">
        <v>2416</v>
      </c>
      <c r="B126" s="4" t="s">
        <v>2415</v>
      </c>
      <c r="C126" s="4" t="s">
        <v>2417</v>
      </c>
      <c r="D126" s="4" t="s">
        <v>2262</v>
      </c>
      <c r="E126" s="4" t="s">
        <v>132</v>
      </c>
      <c r="F126" s="13" t="s">
        <v>2163</v>
      </c>
      <c r="G126" s="4" t="s">
        <v>2164</v>
      </c>
      <c r="H126" s="7" t="s">
        <v>2165</v>
      </c>
    </row>
    <row r="127" customFormat="false" ht="15" hidden="false" customHeight="false" outlineLevel="0" collapsed="false">
      <c r="A127" s="7" t="s">
        <v>2418</v>
      </c>
      <c r="B127" s="4" t="s">
        <v>2419</v>
      </c>
      <c r="C127" s="4" t="s">
        <v>2419</v>
      </c>
      <c r="D127" s="4" t="s">
        <v>2162</v>
      </c>
      <c r="E127" s="4" t="s">
        <v>82</v>
      </c>
      <c r="F127" s="13" t="s">
        <v>2163</v>
      </c>
      <c r="G127" s="4" t="s">
        <v>2164</v>
      </c>
      <c r="H127" s="7" t="s">
        <v>2165</v>
      </c>
    </row>
    <row r="128" customFormat="false" ht="15" hidden="false" customHeight="false" outlineLevel="0" collapsed="false">
      <c r="A128" s="7" t="s">
        <v>2420</v>
      </c>
      <c r="B128" s="4" t="s">
        <v>2419</v>
      </c>
      <c r="C128" s="4" t="s">
        <v>2421</v>
      </c>
      <c r="D128" s="4" t="s">
        <v>2162</v>
      </c>
      <c r="E128" s="4" t="s">
        <v>98</v>
      </c>
      <c r="F128" s="13" t="s">
        <v>2163</v>
      </c>
      <c r="G128" s="4" t="s">
        <v>2164</v>
      </c>
      <c r="H128" s="7" t="s">
        <v>2165</v>
      </c>
    </row>
    <row r="129" customFormat="false" ht="15" hidden="false" customHeight="false" outlineLevel="0" collapsed="false">
      <c r="A129" s="7" t="s">
        <v>2422</v>
      </c>
      <c r="B129" s="4" t="s">
        <v>2419</v>
      </c>
      <c r="C129" s="4" t="s">
        <v>2423</v>
      </c>
      <c r="D129" s="4" t="s">
        <v>2162</v>
      </c>
      <c r="E129" s="4" t="s">
        <v>98</v>
      </c>
      <c r="F129" s="13" t="s">
        <v>2163</v>
      </c>
      <c r="G129" s="4" t="s">
        <v>2164</v>
      </c>
      <c r="H129" s="7" t="s">
        <v>2165</v>
      </c>
    </row>
    <row r="130" customFormat="false" ht="15" hidden="false" customHeight="false" outlineLevel="0" collapsed="false">
      <c r="A130" s="7" t="s">
        <v>2424</v>
      </c>
      <c r="B130" s="4" t="s">
        <v>2419</v>
      </c>
      <c r="C130" s="4" t="s">
        <v>2425</v>
      </c>
      <c r="D130" s="4" t="s">
        <v>2237</v>
      </c>
      <c r="E130" s="4" t="s">
        <v>98</v>
      </c>
      <c r="F130" s="13" t="s">
        <v>2163</v>
      </c>
      <c r="G130" s="4" t="s">
        <v>2164</v>
      </c>
      <c r="H130" s="7" t="s">
        <v>2165</v>
      </c>
    </row>
    <row r="131" customFormat="false" ht="15" hidden="false" customHeight="false" outlineLevel="0" collapsed="false">
      <c r="A131" s="7" t="s">
        <v>2426</v>
      </c>
      <c r="B131" s="4" t="s">
        <v>2419</v>
      </c>
      <c r="C131" s="4" t="s">
        <v>2427</v>
      </c>
      <c r="D131" s="4" t="s">
        <v>2162</v>
      </c>
      <c r="E131" s="4" t="s">
        <v>98</v>
      </c>
      <c r="F131" s="13" t="s">
        <v>2163</v>
      </c>
      <c r="G131" s="4" t="s">
        <v>2164</v>
      </c>
      <c r="H131" s="7" t="s">
        <v>2165</v>
      </c>
    </row>
    <row r="132" customFormat="false" ht="15" hidden="false" customHeight="false" outlineLevel="0" collapsed="false">
      <c r="A132" s="7" t="s">
        <v>2428</v>
      </c>
      <c r="B132" s="4" t="s">
        <v>2419</v>
      </c>
      <c r="C132" s="4" t="s">
        <v>2429</v>
      </c>
      <c r="D132" s="4" t="s">
        <v>2162</v>
      </c>
      <c r="E132" s="4" t="s">
        <v>98</v>
      </c>
      <c r="F132" s="13" t="s">
        <v>2163</v>
      </c>
      <c r="G132" s="4" t="s">
        <v>2164</v>
      </c>
      <c r="H132" s="7" t="s">
        <v>2165</v>
      </c>
    </row>
    <row r="133" customFormat="false" ht="15" hidden="false" customHeight="false" outlineLevel="0" collapsed="false">
      <c r="A133" s="7" t="s">
        <v>2430</v>
      </c>
      <c r="B133" s="4" t="s">
        <v>2431</v>
      </c>
      <c r="C133" s="4" t="s">
        <v>2431</v>
      </c>
      <c r="D133" s="4" t="s">
        <v>2262</v>
      </c>
      <c r="E133" s="4" t="s">
        <v>82</v>
      </c>
      <c r="F133" s="13" t="s">
        <v>2163</v>
      </c>
      <c r="G133" s="4" t="s">
        <v>2164</v>
      </c>
      <c r="H133" s="7" t="s">
        <v>2165</v>
      </c>
    </row>
    <row r="134" customFormat="false" ht="15" hidden="false" customHeight="false" outlineLevel="0" collapsed="false">
      <c r="A134" s="7" t="s">
        <v>2432</v>
      </c>
      <c r="B134" s="4" t="s">
        <v>2431</v>
      </c>
      <c r="C134" s="4" t="s">
        <v>2433</v>
      </c>
      <c r="D134" s="4" t="s">
        <v>2162</v>
      </c>
      <c r="E134" s="4" t="s">
        <v>2201</v>
      </c>
      <c r="F134" s="13" t="s">
        <v>2163</v>
      </c>
      <c r="G134" s="4" t="s">
        <v>2164</v>
      </c>
      <c r="H134" s="7" t="s">
        <v>2165</v>
      </c>
    </row>
    <row r="135" customFormat="false" ht="15" hidden="false" customHeight="false" outlineLevel="0" collapsed="false">
      <c r="A135" s="7" t="s">
        <v>2434</v>
      </c>
      <c r="B135" s="4" t="s">
        <v>2431</v>
      </c>
      <c r="C135" s="4" t="s">
        <v>2435</v>
      </c>
      <c r="D135" s="4" t="s">
        <v>2162</v>
      </c>
      <c r="E135" s="4" t="s">
        <v>2201</v>
      </c>
      <c r="F135" s="13" t="s">
        <v>2163</v>
      </c>
      <c r="G135" s="4" t="s">
        <v>2164</v>
      </c>
      <c r="H135" s="7" t="s">
        <v>2165</v>
      </c>
    </row>
    <row r="136" customFormat="false" ht="15" hidden="false" customHeight="false" outlineLevel="0" collapsed="false">
      <c r="A136" s="7" t="s">
        <v>2436</v>
      </c>
      <c r="B136" s="4" t="s">
        <v>2431</v>
      </c>
      <c r="C136" s="4" t="s">
        <v>2437</v>
      </c>
      <c r="D136" s="4" t="s">
        <v>2237</v>
      </c>
      <c r="E136" s="4" t="s">
        <v>2201</v>
      </c>
      <c r="F136" s="13" t="s">
        <v>2163</v>
      </c>
      <c r="G136" s="4" t="s">
        <v>2164</v>
      </c>
      <c r="H136" s="7" t="s">
        <v>2165</v>
      </c>
    </row>
    <row r="137" customFormat="false" ht="15" hidden="false" customHeight="false" outlineLevel="0" collapsed="false">
      <c r="A137" s="7" t="s">
        <v>2438</v>
      </c>
      <c r="B137" s="4" t="s">
        <v>2431</v>
      </c>
      <c r="C137" s="4" t="s">
        <v>2439</v>
      </c>
      <c r="D137" s="4" t="s">
        <v>2162</v>
      </c>
      <c r="E137" s="4" t="s">
        <v>2201</v>
      </c>
      <c r="F137" s="13" t="s">
        <v>2163</v>
      </c>
      <c r="G137" s="4" t="s">
        <v>2164</v>
      </c>
      <c r="H137" s="7" t="s">
        <v>2165</v>
      </c>
    </row>
    <row r="138" customFormat="false" ht="15" hidden="false" customHeight="false" outlineLevel="0" collapsed="false">
      <c r="A138" s="7" t="s">
        <v>2440</v>
      </c>
      <c r="B138" s="4" t="s">
        <v>2431</v>
      </c>
      <c r="C138" s="4" t="s">
        <v>2441</v>
      </c>
      <c r="D138" s="4" t="s">
        <v>2162</v>
      </c>
      <c r="E138" s="4" t="s">
        <v>2201</v>
      </c>
      <c r="F138" s="13" t="s">
        <v>2163</v>
      </c>
      <c r="G138" s="4" t="s">
        <v>2164</v>
      </c>
      <c r="H138" s="7" t="s">
        <v>2165</v>
      </c>
    </row>
    <row r="139" customFormat="false" ht="15" hidden="false" customHeight="false" outlineLevel="0" collapsed="false">
      <c r="A139" s="7" t="s">
        <v>2442</v>
      </c>
      <c r="B139" s="4" t="s">
        <v>2443</v>
      </c>
      <c r="C139" s="4" t="s">
        <v>2443</v>
      </c>
      <c r="D139" s="4" t="s">
        <v>2237</v>
      </c>
      <c r="E139" s="4" t="s">
        <v>82</v>
      </c>
      <c r="F139" s="13" t="s">
        <v>2163</v>
      </c>
      <c r="G139" s="4" t="s">
        <v>2164</v>
      </c>
      <c r="H139" s="7" t="s">
        <v>2165</v>
      </c>
    </row>
    <row r="140" customFormat="false" ht="15" hidden="false" customHeight="false" outlineLevel="0" collapsed="false">
      <c r="A140" s="7" t="s">
        <v>2444</v>
      </c>
      <c r="B140" s="4" t="s">
        <v>2445</v>
      </c>
      <c r="C140" s="4" t="s">
        <v>2445</v>
      </c>
      <c r="D140" s="4" t="s">
        <v>2162</v>
      </c>
      <c r="E140" s="4" t="s">
        <v>82</v>
      </c>
      <c r="F140" s="13" t="s">
        <v>2163</v>
      </c>
      <c r="G140" s="4" t="s">
        <v>2164</v>
      </c>
      <c r="H140" s="7" t="s">
        <v>2165</v>
      </c>
    </row>
    <row r="141" customFormat="false" ht="41.75" hidden="false" customHeight="false" outlineLevel="0" collapsed="false">
      <c r="A141" s="7" t="s">
        <v>2446</v>
      </c>
      <c r="B141" s="4" t="s">
        <v>2445</v>
      </c>
      <c r="C141" s="4" t="s">
        <v>2447</v>
      </c>
      <c r="D141" s="4" t="s">
        <v>2162</v>
      </c>
      <c r="E141" s="4" t="s">
        <v>132</v>
      </c>
      <c r="F141" s="13" t="s">
        <v>2163</v>
      </c>
      <c r="G141" s="4" t="s">
        <v>2164</v>
      </c>
      <c r="H141" s="7" t="s">
        <v>2165</v>
      </c>
    </row>
    <row r="142" customFormat="false" ht="15" hidden="false" customHeight="false" outlineLevel="0" collapsed="false">
      <c r="A142" s="7" t="s">
        <v>2448</v>
      </c>
      <c r="B142" s="4" t="s">
        <v>2449</v>
      </c>
      <c r="C142" s="4" t="s">
        <v>2449</v>
      </c>
      <c r="D142" s="4" t="s">
        <v>2162</v>
      </c>
      <c r="E142" s="4" t="s">
        <v>82</v>
      </c>
      <c r="F142" s="13" t="s">
        <v>2163</v>
      </c>
      <c r="G142" s="4" t="s">
        <v>2164</v>
      </c>
      <c r="H142" s="7" t="s">
        <v>2165</v>
      </c>
    </row>
    <row r="143" customFormat="false" ht="15" hidden="false" customHeight="false" outlineLevel="0" collapsed="false">
      <c r="A143" s="7" t="s">
        <v>2450</v>
      </c>
      <c r="B143" s="4" t="s">
        <v>2449</v>
      </c>
      <c r="C143" s="4" t="s">
        <v>2451</v>
      </c>
      <c r="D143" s="4" t="s">
        <v>2162</v>
      </c>
      <c r="E143" s="4" t="s">
        <v>98</v>
      </c>
      <c r="F143" s="13" t="s">
        <v>2163</v>
      </c>
      <c r="G143" s="4" t="s">
        <v>2164</v>
      </c>
      <c r="H143" s="7" t="s">
        <v>2165</v>
      </c>
    </row>
    <row r="144" customFormat="false" ht="15" hidden="false" customHeight="false" outlineLevel="0" collapsed="false">
      <c r="A144" s="7" t="s">
        <v>2452</v>
      </c>
      <c r="B144" s="4" t="s">
        <v>2449</v>
      </c>
      <c r="C144" s="4" t="s">
        <v>2453</v>
      </c>
      <c r="D144" s="4" t="s">
        <v>2162</v>
      </c>
      <c r="E144" s="4" t="s">
        <v>98</v>
      </c>
      <c r="F144" s="13" t="s">
        <v>2163</v>
      </c>
      <c r="G144" s="4" t="s">
        <v>2164</v>
      </c>
      <c r="H144" s="7" t="s">
        <v>2165</v>
      </c>
    </row>
    <row r="145" customFormat="false" ht="15" hidden="false" customHeight="false" outlineLevel="0" collapsed="false">
      <c r="A145" s="7" t="s">
        <v>2454</v>
      </c>
      <c r="B145" s="4" t="s">
        <v>2449</v>
      </c>
      <c r="C145" s="4" t="s">
        <v>2455</v>
      </c>
      <c r="D145" s="4" t="s">
        <v>2162</v>
      </c>
      <c r="E145" s="4" t="s">
        <v>98</v>
      </c>
      <c r="F145" s="13" t="s">
        <v>2163</v>
      </c>
      <c r="G145" s="4" t="s">
        <v>2164</v>
      </c>
      <c r="H145" s="7" t="s">
        <v>2165</v>
      </c>
    </row>
    <row r="146" customFormat="false" ht="15" hidden="false" customHeight="false" outlineLevel="0" collapsed="false">
      <c r="A146" s="7" t="s">
        <v>2456</v>
      </c>
      <c r="B146" s="4" t="s">
        <v>2449</v>
      </c>
      <c r="C146" s="4" t="s">
        <v>2457</v>
      </c>
      <c r="D146" s="4" t="s">
        <v>2162</v>
      </c>
      <c r="E146" s="4" t="s">
        <v>98</v>
      </c>
      <c r="F146" s="13" t="s">
        <v>2163</v>
      </c>
      <c r="G146" s="4" t="s">
        <v>2164</v>
      </c>
      <c r="H146" s="7" t="s">
        <v>2165</v>
      </c>
    </row>
    <row r="147" customFormat="false" ht="15" hidden="false" customHeight="false" outlineLevel="0" collapsed="false">
      <c r="A147" s="7" t="s">
        <v>2458</v>
      </c>
      <c r="B147" s="4" t="s">
        <v>2449</v>
      </c>
      <c r="C147" s="4" t="s">
        <v>2459</v>
      </c>
      <c r="D147" s="4" t="s">
        <v>2237</v>
      </c>
      <c r="E147" s="4" t="s">
        <v>98</v>
      </c>
      <c r="F147" s="13" t="s">
        <v>2163</v>
      </c>
      <c r="G147" s="4" t="s">
        <v>2164</v>
      </c>
      <c r="H147" s="7" t="s">
        <v>2165</v>
      </c>
    </row>
    <row r="148" customFormat="false" ht="15" hidden="false" customHeight="false" outlineLevel="0" collapsed="false">
      <c r="A148" s="7" t="s">
        <v>2460</v>
      </c>
      <c r="B148" s="4" t="s">
        <v>2449</v>
      </c>
      <c r="C148" s="4" t="s">
        <v>2461</v>
      </c>
      <c r="D148" s="4" t="s">
        <v>2242</v>
      </c>
      <c r="E148" s="4" t="s">
        <v>98</v>
      </c>
      <c r="F148" s="13" t="s">
        <v>2163</v>
      </c>
      <c r="G148" s="4" t="s">
        <v>2164</v>
      </c>
      <c r="H148" s="7" t="s">
        <v>2165</v>
      </c>
    </row>
    <row r="149" customFormat="false" ht="15" hidden="false" customHeight="false" outlineLevel="0" collapsed="false">
      <c r="A149" s="7" t="s">
        <v>2462</v>
      </c>
      <c r="B149" s="4" t="s">
        <v>2449</v>
      </c>
      <c r="C149" s="4" t="s">
        <v>2463</v>
      </c>
      <c r="D149" s="4" t="s">
        <v>2162</v>
      </c>
      <c r="E149" s="4" t="s">
        <v>98</v>
      </c>
      <c r="F149" s="13" t="s">
        <v>2163</v>
      </c>
      <c r="G149" s="4" t="s">
        <v>2164</v>
      </c>
      <c r="H149" s="7" t="s">
        <v>2165</v>
      </c>
    </row>
    <row r="150" customFormat="false" ht="15" hidden="false" customHeight="false" outlineLevel="0" collapsed="false">
      <c r="A150" s="7" t="s">
        <v>2464</v>
      </c>
      <c r="B150" s="4" t="s">
        <v>2465</v>
      </c>
      <c r="C150" s="4" t="s">
        <v>2465</v>
      </c>
      <c r="D150" s="4" t="s">
        <v>2162</v>
      </c>
      <c r="E150" s="4" t="s">
        <v>82</v>
      </c>
      <c r="F150" s="13" t="s">
        <v>2163</v>
      </c>
      <c r="G150" s="4" t="s">
        <v>2164</v>
      </c>
      <c r="H150" s="7" t="s">
        <v>2165</v>
      </c>
    </row>
    <row r="151" customFormat="false" ht="15" hidden="false" customHeight="false" outlineLevel="0" collapsed="false">
      <c r="A151" s="7" t="s">
        <v>2466</v>
      </c>
      <c r="B151" s="4" t="s">
        <v>2465</v>
      </c>
      <c r="C151" s="4" t="s">
        <v>2467</v>
      </c>
      <c r="D151" s="4" t="s">
        <v>2162</v>
      </c>
      <c r="E151" s="4" t="s">
        <v>2201</v>
      </c>
      <c r="F151" s="13" t="s">
        <v>2163</v>
      </c>
      <c r="G151" s="4" t="s">
        <v>2164</v>
      </c>
      <c r="H151" s="7" t="s">
        <v>2165</v>
      </c>
    </row>
    <row r="152" customFormat="false" ht="15" hidden="false" customHeight="false" outlineLevel="0" collapsed="false">
      <c r="A152" s="7" t="s">
        <v>2468</v>
      </c>
      <c r="B152" s="4" t="s">
        <v>2465</v>
      </c>
      <c r="C152" s="4" t="s">
        <v>2469</v>
      </c>
      <c r="D152" s="4" t="s">
        <v>2162</v>
      </c>
      <c r="E152" s="4" t="s">
        <v>2201</v>
      </c>
      <c r="F152" s="13" t="s">
        <v>2163</v>
      </c>
      <c r="G152" s="4" t="s">
        <v>2164</v>
      </c>
      <c r="H152" s="7" t="s">
        <v>2165</v>
      </c>
    </row>
    <row r="153" customFormat="false" ht="15" hidden="false" customHeight="false" outlineLevel="0" collapsed="false">
      <c r="A153" s="7" t="s">
        <v>2470</v>
      </c>
      <c r="B153" s="4" t="s">
        <v>2465</v>
      </c>
      <c r="C153" s="4" t="s">
        <v>2471</v>
      </c>
      <c r="D153" s="4" t="s">
        <v>2162</v>
      </c>
      <c r="E153" s="4" t="s">
        <v>2201</v>
      </c>
      <c r="F153" s="13" t="s">
        <v>2163</v>
      </c>
      <c r="G153" s="4" t="s">
        <v>2164</v>
      </c>
      <c r="H153" s="7" t="s">
        <v>2165</v>
      </c>
    </row>
    <row r="154" customFormat="false" ht="15" hidden="false" customHeight="false" outlineLevel="0" collapsed="false">
      <c r="A154" s="7" t="s">
        <v>2472</v>
      </c>
      <c r="B154" s="4" t="s">
        <v>2465</v>
      </c>
      <c r="C154" s="4" t="s">
        <v>2473</v>
      </c>
      <c r="D154" s="4" t="s">
        <v>2162</v>
      </c>
      <c r="E154" s="4" t="s">
        <v>2201</v>
      </c>
      <c r="F154" s="13" t="s">
        <v>2163</v>
      </c>
      <c r="G154" s="4" t="s">
        <v>2164</v>
      </c>
      <c r="H154" s="7" t="s">
        <v>2165</v>
      </c>
    </row>
    <row r="155" customFormat="false" ht="15" hidden="false" customHeight="false" outlineLevel="0" collapsed="false">
      <c r="A155" s="7" t="s">
        <v>2474</v>
      </c>
      <c r="B155" s="4" t="s">
        <v>2465</v>
      </c>
      <c r="C155" s="4" t="s">
        <v>2475</v>
      </c>
      <c r="D155" s="4" t="s">
        <v>2162</v>
      </c>
      <c r="E155" s="4" t="s">
        <v>2201</v>
      </c>
      <c r="F155" s="13" t="s">
        <v>2163</v>
      </c>
      <c r="G155" s="4" t="s">
        <v>2164</v>
      </c>
      <c r="H155" s="7" t="s">
        <v>2165</v>
      </c>
    </row>
    <row r="156" customFormat="false" ht="28.35" hidden="false" customHeight="false" outlineLevel="0" collapsed="false">
      <c r="A156" s="7" t="s">
        <v>2476</v>
      </c>
      <c r="B156" s="4" t="s">
        <v>2465</v>
      </c>
      <c r="C156" s="4" t="s">
        <v>2477</v>
      </c>
      <c r="D156" s="4" t="s">
        <v>2162</v>
      </c>
      <c r="E156" s="4" t="s">
        <v>2201</v>
      </c>
      <c r="F156" s="13" t="s">
        <v>2163</v>
      </c>
      <c r="G156" s="4" t="s">
        <v>2164</v>
      </c>
      <c r="H156" s="7" t="s">
        <v>2165</v>
      </c>
    </row>
    <row r="157" customFormat="false" ht="15" hidden="false" customHeight="false" outlineLevel="0" collapsed="false">
      <c r="A157" s="7" t="s">
        <v>2478</v>
      </c>
      <c r="B157" s="4" t="s">
        <v>2479</v>
      </c>
      <c r="C157" s="4" t="s">
        <v>2479</v>
      </c>
      <c r="D157" s="4" t="s">
        <v>2222</v>
      </c>
      <c r="E157" s="4" t="s">
        <v>82</v>
      </c>
      <c r="F157" s="13" t="s">
        <v>2163</v>
      </c>
      <c r="G157" s="4" t="s">
        <v>2164</v>
      </c>
      <c r="H157" s="7" t="s">
        <v>2165</v>
      </c>
    </row>
    <row r="158" customFormat="false" ht="55.2" hidden="false" customHeight="false" outlineLevel="0" collapsed="false">
      <c r="A158" s="7" t="s">
        <v>2480</v>
      </c>
      <c r="B158" s="4" t="s">
        <v>2479</v>
      </c>
      <c r="C158" s="4" t="s">
        <v>2481</v>
      </c>
      <c r="D158" s="4" t="s">
        <v>2162</v>
      </c>
      <c r="E158" s="4" t="s">
        <v>132</v>
      </c>
      <c r="F158" s="13" t="s">
        <v>2163</v>
      </c>
      <c r="G158" s="4" t="s">
        <v>2164</v>
      </c>
      <c r="H158" s="7" t="s">
        <v>2165</v>
      </c>
    </row>
    <row r="159" customFormat="false" ht="15" hidden="false" customHeight="false" outlineLevel="0" collapsed="false">
      <c r="A159" s="7" t="s">
        <v>2482</v>
      </c>
      <c r="B159" s="4" t="s">
        <v>2483</v>
      </c>
      <c r="C159" s="4" t="s">
        <v>2483</v>
      </c>
      <c r="D159" s="4" t="s">
        <v>2162</v>
      </c>
      <c r="E159" s="4" t="s">
        <v>82</v>
      </c>
      <c r="F159" s="13" t="s">
        <v>2163</v>
      </c>
      <c r="G159" s="4" t="s">
        <v>2164</v>
      </c>
      <c r="H159" s="7" t="s">
        <v>2165</v>
      </c>
    </row>
    <row r="160" customFormat="false" ht="28.35" hidden="false" customHeight="false" outlineLevel="0" collapsed="false">
      <c r="A160" s="7" t="s">
        <v>2484</v>
      </c>
      <c r="B160" s="4" t="s">
        <v>2483</v>
      </c>
      <c r="C160" s="4" t="s">
        <v>2485</v>
      </c>
      <c r="D160" s="4" t="s">
        <v>2162</v>
      </c>
      <c r="E160" s="4" t="s">
        <v>132</v>
      </c>
      <c r="F160" s="13" t="s">
        <v>2163</v>
      </c>
      <c r="G160" s="4" t="s">
        <v>2164</v>
      </c>
      <c r="H160" s="7" t="s">
        <v>2165</v>
      </c>
    </row>
    <row r="161" customFormat="false" ht="15" hidden="false" customHeight="false" outlineLevel="0" collapsed="false">
      <c r="A161" s="7" t="s">
        <v>2486</v>
      </c>
      <c r="B161" s="4" t="s">
        <v>2483</v>
      </c>
      <c r="C161" s="4" t="s">
        <v>2487</v>
      </c>
      <c r="D161" s="4" t="s">
        <v>2162</v>
      </c>
      <c r="E161" s="4" t="s">
        <v>2201</v>
      </c>
      <c r="F161" s="13" t="s">
        <v>2163</v>
      </c>
      <c r="G161" s="4" t="s">
        <v>2164</v>
      </c>
      <c r="H161" s="7" t="s">
        <v>2165</v>
      </c>
    </row>
    <row r="162" customFormat="false" ht="15" hidden="false" customHeight="false" outlineLevel="0" collapsed="false">
      <c r="A162" s="7" t="s">
        <v>2488</v>
      </c>
      <c r="B162" s="4" t="s">
        <v>2483</v>
      </c>
      <c r="C162" s="4" t="s">
        <v>2489</v>
      </c>
      <c r="D162" s="4" t="s">
        <v>2162</v>
      </c>
      <c r="E162" s="4" t="s">
        <v>2201</v>
      </c>
      <c r="F162" s="13" t="s">
        <v>2163</v>
      </c>
      <c r="G162" s="4" t="s">
        <v>2164</v>
      </c>
      <c r="H162" s="7" t="s">
        <v>2165</v>
      </c>
    </row>
    <row r="163" customFormat="false" ht="15" hidden="false" customHeight="false" outlineLevel="0" collapsed="false">
      <c r="A163" s="7" t="s">
        <v>2490</v>
      </c>
      <c r="B163" s="4" t="s">
        <v>2483</v>
      </c>
      <c r="C163" s="4" t="s">
        <v>2491</v>
      </c>
      <c r="D163" s="4" t="s">
        <v>2162</v>
      </c>
      <c r="E163" s="4" t="s">
        <v>2201</v>
      </c>
      <c r="F163" s="13" t="s">
        <v>2163</v>
      </c>
      <c r="G163" s="4" t="s">
        <v>2164</v>
      </c>
      <c r="H163" s="7" t="s">
        <v>2165</v>
      </c>
    </row>
    <row r="164" customFormat="false" ht="28.35" hidden="false" customHeight="false" outlineLevel="0" collapsed="false">
      <c r="A164" s="7" t="s">
        <v>2492</v>
      </c>
      <c r="B164" s="4" t="s">
        <v>2483</v>
      </c>
      <c r="C164" s="4" t="s">
        <v>2493</v>
      </c>
      <c r="D164" s="4" t="s">
        <v>2162</v>
      </c>
      <c r="E164" s="4" t="s">
        <v>2201</v>
      </c>
      <c r="F164" s="13" t="s">
        <v>2163</v>
      </c>
      <c r="G164" s="4" t="s">
        <v>2164</v>
      </c>
      <c r="H164" s="7" t="s">
        <v>2165</v>
      </c>
    </row>
    <row r="165" customFormat="false" ht="15" hidden="false" customHeight="false" outlineLevel="0" collapsed="false">
      <c r="A165" s="7" t="s">
        <v>2494</v>
      </c>
      <c r="B165" s="4" t="s">
        <v>2495</v>
      </c>
      <c r="C165" s="4" t="s">
        <v>2495</v>
      </c>
      <c r="D165" s="4" t="s">
        <v>2162</v>
      </c>
      <c r="E165" s="4" t="s">
        <v>82</v>
      </c>
      <c r="F165" s="13" t="s">
        <v>2163</v>
      </c>
      <c r="G165" s="4" t="s">
        <v>2164</v>
      </c>
      <c r="H165" s="7" t="s">
        <v>2165</v>
      </c>
    </row>
    <row r="166" customFormat="false" ht="28.35" hidden="false" customHeight="false" outlineLevel="0" collapsed="false">
      <c r="A166" s="7" t="s">
        <v>2496</v>
      </c>
      <c r="B166" s="4" t="s">
        <v>2495</v>
      </c>
      <c r="C166" s="4" t="s">
        <v>2497</v>
      </c>
      <c r="D166" s="4" t="s">
        <v>2162</v>
      </c>
      <c r="E166" s="4" t="s">
        <v>2201</v>
      </c>
      <c r="F166" s="13" t="s">
        <v>2163</v>
      </c>
      <c r="G166" s="4" t="s">
        <v>2164</v>
      </c>
      <c r="H166" s="7" t="s">
        <v>2165</v>
      </c>
    </row>
    <row r="167" customFormat="false" ht="28.35" hidden="false" customHeight="false" outlineLevel="0" collapsed="false">
      <c r="A167" s="7" t="s">
        <v>2498</v>
      </c>
      <c r="B167" s="4" t="s">
        <v>2495</v>
      </c>
      <c r="C167" s="4" t="s">
        <v>2499</v>
      </c>
      <c r="D167" s="4" t="s">
        <v>2162</v>
      </c>
      <c r="E167" s="4" t="s">
        <v>2201</v>
      </c>
      <c r="F167" s="13" t="s">
        <v>2163</v>
      </c>
      <c r="G167" s="4" t="s">
        <v>2164</v>
      </c>
      <c r="H167" s="7" t="s">
        <v>2165</v>
      </c>
    </row>
    <row r="168" customFormat="false" ht="28.35" hidden="false" customHeight="false" outlineLevel="0" collapsed="false">
      <c r="A168" s="7" t="s">
        <v>2500</v>
      </c>
      <c r="B168" s="4" t="s">
        <v>2495</v>
      </c>
      <c r="C168" s="4" t="s">
        <v>2501</v>
      </c>
      <c r="D168" s="4" t="s">
        <v>2162</v>
      </c>
      <c r="E168" s="4" t="s">
        <v>2201</v>
      </c>
      <c r="F168" s="13" t="s">
        <v>2163</v>
      </c>
      <c r="G168" s="4" t="s">
        <v>2164</v>
      </c>
      <c r="H168" s="7" t="s">
        <v>2165</v>
      </c>
    </row>
    <row r="169" customFormat="false" ht="15" hidden="false" customHeight="false" outlineLevel="0" collapsed="false">
      <c r="A169" s="7" t="s">
        <v>2502</v>
      </c>
      <c r="B169" s="4" t="s">
        <v>2495</v>
      </c>
      <c r="C169" s="4" t="s">
        <v>2503</v>
      </c>
      <c r="D169" s="4" t="s">
        <v>2162</v>
      </c>
      <c r="E169" s="4" t="s">
        <v>2201</v>
      </c>
      <c r="F169" s="13" t="s">
        <v>2163</v>
      </c>
      <c r="G169" s="4" t="s">
        <v>2164</v>
      </c>
      <c r="H169" s="7" t="s">
        <v>2165</v>
      </c>
    </row>
    <row r="170" customFormat="false" ht="15" hidden="false" customHeight="false" outlineLevel="0" collapsed="false">
      <c r="A170" s="7" t="s">
        <v>2504</v>
      </c>
      <c r="B170" s="4" t="s">
        <v>2495</v>
      </c>
      <c r="C170" s="4" t="s">
        <v>2505</v>
      </c>
      <c r="D170" s="4" t="s">
        <v>2162</v>
      </c>
      <c r="E170" s="4" t="s">
        <v>2201</v>
      </c>
      <c r="F170" s="13" t="s">
        <v>2163</v>
      </c>
      <c r="G170" s="4" t="s">
        <v>2164</v>
      </c>
      <c r="H170" s="7" t="s">
        <v>2165</v>
      </c>
    </row>
    <row r="171" customFormat="false" ht="15" hidden="false" customHeight="false" outlineLevel="0" collapsed="false">
      <c r="A171" s="7" t="s">
        <v>2506</v>
      </c>
      <c r="B171" s="4" t="s">
        <v>2495</v>
      </c>
      <c r="C171" s="4" t="s">
        <v>2507</v>
      </c>
      <c r="D171" s="4" t="s">
        <v>2162</v>
      </c>
      <c r="E171" s="4" t="s">
        <v>2201</v>
      </c>
      <c r="F171" s="13" t="s">
        <v>2163</v>
      </c>
      <c r="G171" s="4" t="s">
        <v>2164</v>
      </c>
      <c r="H171" s="7" t="s">
        <v>2165</v>
      </c>
    </row>
    <row r="172" customFormat="false" ht="28.35" hidden="false" customHeight="false" outlineLevel="0" collapsed="false">
      <c r="A172" s="7" t="s">
        <v>2508</v>
      </c>
      <c r="B172" s="4" t="s">
        <v>2495</v>
      </c>
      <c r="C172" s="4" t="s">
        <v>2509</v>
      </c>
      <c r="D172" s="4" t="s">
        <v>2162</v>
      </c>
      <c r="E172" s="4" t="s">
        <v>2201</v>
      </c>
      <c r="F172" s="13" t="s">
        <v>2163</v>
      </c>
      <c r="G172" s="4" t="s">
        <v>2164</v>
      </c>
      <c r="H172" s="7" t="s">
        <v>2165</v>
      </c>
    </row>
    <row r="173" customFormat="false" ht="15" hidden="false" customHeight="false" outlineLevel="0" collapsed="false">
      <c r="A173" s="7" t="s">
        <v>2510</v>
      </c>
      <c r="B173" s="4" t="s">
        <v>2511</v>
      </c>
      <c r="C173" s="4" t="s">
        <v>2511</v>
      </c>
      <c r="D173" s="4" t="s">
        <v>2162</v>
      </c>
      <c r="E173" s="4" t="s">
        <v>82</v>
      </c>
      <c r="F173" s="13" t="s">
        <v>2163</v>
      </c>
      <c r="G173" s="4" t="s">
        <v>2164</v>
      </c>
      <c r="H173" s="7" t="s">
        <v>2165</v>
      </c>
    </row>
    <row r="174" customFormat="false" ht="15" hidden="false" customHeight="false" outlineLevel="0" collapsed="false">
      <c r="A174" s="7" t="s">
        <v>2512</v>
      </c>
      <c r="B174" s="4" t="s">
        <v>2511</v>
      </c>
      <c r="C174" s="4" t="s">
        <v>2513</v>
      </c>
      <c r="D174" s="4" t="s">
        <v>2162</v>
      </c>
      <c r="E174" s="4" t="s">
        <v>98</v>
      </c>
      <c r="F174" s="13" t="s">
        <v>2163</v>
      </c>
      <c r="G174" s="4" t="s">
        <v>2164</v>
      </c>
      <c r="H174" s="7" t="s">
        <v>2165</v>
      </c>
    </row>
    <row r="175" customFormat="false" ht="15" hidden="false" customHeight="false" outlineLevel="0" collapsed="false">
      <c r="A175" s="7" t="s">
        <v>2514</v>
      </c>
      <c r="B175" s="4" t="s">
        <v>2511</v>
      </c>
      <c r="C175" s="4" t="s">
        <v>2515</v>
      </c>
      <c r="D175" s="4" t="s">
        <v>2162</v>
      </c>
      <c r="E175" s="4" t="s">
        <v>98</v>
      </c>
      <c r="F175" s="13" t="s">
        <v>2163</v>
      </c>
      <c r="G175" s="4" t="s">
        <v>2164</v>
      </c>
      <c r="H175" s="7" t="s">
        <v>2165</v>
      </c>
    </row>
    <row r="176" customFormat="false" ht="15" hidden="false" customHeight="false" outlineLevel="0" collapsed="false">
      <c r="A176" s="7" t="s">
        <v>2516</v>
      </c>
      <c r="B176" s="4" t="s">
        <v>2511</v>
      </c>
      <c r="C176" s="4" t="s">
        <v>2517</v>
      </c>
      <c r="D176" s="4" t="s">
        <v>2162</v>
      </c>
      <c r="E176" s="4" t="s">
        <v>98</v>
      </c>
      <c r="F176" s="13" t="s">
        <v>2163</v>
      </c>
      <c r="G176" s="4" t="s">
        <v>2164</v>
      </c>
      <c r="H176" s="7" t="s">
        <v>2165</v>
      </c>
    </row>
    <row r="177" customFormat="false" ht="15" hidden="false" customHeight="false" outlineLevel="0" collapsed="false">
      <c r="A177" s="7" t="s">
        <v>2518</v>
      </c>
      <c r="B177" s="4" t="s">
        <v>2511</v>
      </c>
      <c r="C177" s="4" t="s">
        <v>2519</v>
      </c>
      <c r="D177" s="4" t="s">
        <v>2162</v>
      </c>
      <c r="E177" s="4" t="s">
        <v>98</v>
      </c>
      <c r="F177" s="13" t="s">
        <v>2163</v>
      </c>
      <c r="G177" s="4" t="s">
        <v>2164</v>
      </c>
      <c r="H177" s="7" t="s">
        <v>2165</v>
      </c>
    </row>
    <row r="178" customFormat="false" ht="15" hidden="false" customHeight="false" outlineLevel="0" collapsed="false">
      <c r="A178" s="7" t="s">
        <v>2520</v>
      </c>
      <c r="B178" s="4" t="s">
        <v>2511</v>
      </c>
      <c r="C178" s="4" t="s">
        <v>2521</v>
      </c>
      <c r="D178" s="4" t="s">
        <v>2162</v>
      </c>
      <c r="E178" s="4" t="s">
        <v>98</v>
      </c>
      <c r="F178" s="13" t="s">
        <v>2163</v>
      </c>
      <c r="G178" s="4" t="s">
        <v>2164</v>
      </c>
      <c r="H178" s="7" t="s">
        <v>2165</v>
      </c>
    </row>
    <row r="179" customFormat="false" ht="15" hidden="false" customHeight="false" outlineLevel="0" collapsed="false">
      <c r="A179" s="7" t="s">
        <v>2522</v>
      </c>
      <c r="B179" s="4" t="s">
        <v>2511</v>
      </c>
      <c r="C179" s="4" t="s">
        <v>2523</v>
      </c>
      <c r="D179" s="4" t="s">
        <v>2162</v>
      </c>
      <c r="E179" s="4" t="s">
        <v>98</v>
      </c>
      <c r="F179" s="13" t="s">
        <v>2163</v>
      </c>
      <c r="G179" s="4" t="s">
        <v>2164</v>
      </c>
      <c r="H179" s="7" t="s">
        <v>2165</v>
      </c>
    </row>
    <row r="180" customFormat="false" ht="15" hidden="false" customHeight="false" outlineLevel="0" collapsed="false">
      <c r="A180" s="7" t="s">
        <v>2524</v>
      </c>
      <c r="B180" s="4" t="s">
        <v>2525</v>
      </c>
      <c r="C180" s="4" t="s">
        <v>2525</v>
      </c>
      <c r="D180" s="4" t="s">
        <v>2162</v>
      </c>
      <c r="E180" s="4" t="s">
        <v>82</v>
      </c>
      <c r="F180" s="13" t="s">
        <v>2163</v>
      </c>
      <c r="G180" s="4" t="s">
        <v>2164</v>
      </c>
      <c r="H180" s="7" t="s">
        <v>2165</v>
      </c>
    </row>
    <row r="181" customFormat="false" ht="15" hidden="false" customHeight="false" outlineLevel="0" collapsed="false">
      <c r="A181" s="7" t="s">
        <v>2526</v>
      </c>
      <c r="B181" s="4" t="s">
        <v>2525</v>
      </c>
      <c r="C181" s="4" t="s">
        <v>2527</v>
      </c>
      <c r="D181" s="4" t="s">
        <v>2162</v>
      </c>
      <c r="E181" s="4" t="s">
        <v>2201</v>
      </c>
      <c r="F181" s="13" t="s">
        <v>2163</v>
      </c>
      <c r="G181" s="4" t="s">
        <v>2164</v>
      </c>
      <c r="H181" s="7" t="s">
        <v>2165</v>
      </c>
    </row>
    <row r="182" customFormat="false" ht="15" hidden="false" customHeight="false" outlineLevel="0" collapsed="false">
      <c r="A182" s="7" t="s">
        <v>2528</v>
      </c>
      <c r="B182" s="4" t="s">
        <v>2525</v>
      </c>
      <c r="C182" s="4" t="s">
        <v>2529</v>
      </c>
      <c r="D182" s="4" t="s">
        <v>2162</v>
      </c>
      <c r="E182" s="4" t="s">
        <v>2201</v>
      </c>
      <c r="F182" s="13" t="s">
        <v>2163</v>
      </c>
      <c r="G182" s="4" t="s">
        <v>2164</v>
      </c>
      <c r="H182" s="7" t="s">
        <v>2165</v>
      </c>
    </row>
    <row r="183" customFormat="false" ht="15" hidden="false" customHeight="false" outlineLevel="0" collapsed="false">
      <c r="A183" s="7" t="s">
        <v>2530</v>
      </c>
      <c r="B183" s="4" t="s">
        <v>2525</v>
      </c>
      <c r="C183" s="4" t="s">
        <v>2531</v>
      </c>
      <c r="D183" s="4" t="s">
        <v>2162</v>
      </c>
      <c r="E183" s="4" t="s">
        <v>2201</v>
      </c>
      <c r="F183" s="13" t="s">
        <v>2163</v>
      </c>
      <c r="G183" s="4" t="s">
        <v>2164</v>
      </c>
      <c r="H183" s="7" t="s">
        <v>2165</v>
      </c>
    </row>
    <row r="184" customFormat="false" ht="15" hidden="false" customHeight="false" outlineLevel="0" collapsed="false">
      <c r="A184" s="7" t="s">
        <v>2532</v>
      </c>
      <c r="B184" s="4" t="s">
        <v>2525</v>
      </c>
      <c r="C184" s="4" t="s">
        <v>2533</v>
      </c>
      <c r="D184" s="4" t="s">
        <v>2162</v>
      </c>
      <c r="E184" s="4" t="s">
        <v>2201</v>
      </c>
      <c r="F184" s="13" t="s">
        <v>2163</v>
      </c>
      <c r="G184" s="4" t="s">
        <v>2164</v>
      </c>
      <c r="H184" s="7" t="s">
        <v>2165</v>
      </c>
    </row>
    <row r="185" customFormat="false" ht="15" hidden="false" customHeight="false" outlineLevel="0" collapsed="false">
      <c r="A185" s="7" t="s">
        <v>2534</v>
      </c>
      <c r="B185" s="4" t="s">
        <v>2525</v>
      </c>
      <c r="C185" s="4" t="s">
        <v>2535</v>
      </c>
      <c r="D185" s="4" t="s">
        <v>2162</v>
      </c>
      <c r="E185" s="4" t="s">
        <v>2201</v>
      </c>
      <c r="F185" s="13" t="s">
        <v>2163</v>
      </c>
      <c r="G185" s="4" t="s">
        <v>2164</v>
      </c>
      <c r="H185" s="7" t="s">
        <v>2165</v>
      </c>
    </row>
    <row r="186" customFormat="false" ht="15" hidden="false" customHeight="false" outlineLevel="0" collapsed="false">
      <c r="A186" s="7" t="s">
        <v>2536</v>
      </c>
      <c r="B186" s="4" t="s">
        <v>2525</v>
      </c>
      <c r="C186" s="4" t="s">
        <v>2537</v>
      </c>
      <c r="D186" s="4" t="s">
        <v>2162</v>
      </c>
      <c r="E186" s="4" t="s">
        <v>2201</v>
      </c>
      <c r="F186" s="13" t="s">
        <v>2163</v>
      </c>
      <c r="G186" s="4" t="s">
        <v>2164</v>
      </c>
      <c r="H186" s="7" t="s">
        <v>2165</v>
      </c>
    </row>
    <row r="187" customFormat="false" ht="15" hidden="false" customHeight="false" outlineLevel="0" collapsed="false">
      <c r="A187" s="7" t="s">
        <v>2538</v>
      </c>
      <c r="B187" s="4" t="s">
        <v>2539</v>
      </c>
      <c r="C187" s="4" t="s">
        <v>2539</v>
      </c>
      <c r="D187" s="4" t="s">
        <v>2162</v>
      </c>
      <c r="E187" s="4" t="s">
        <v>82</v>
      </c>
      <c r="F187" s="13" t="s">
        <v>2163</v>
      </c>
      <c r="G187" s="4" t="s">
        <v>2164</v>
      </c>
      <c r="H187" s="7" t="s">
        <v>2165</v>
      </c>
    </row>
    <row r="188" customFormat="false" ht="15" hidden="false" customHeight="false" outlineLevel="0" collapsed="false">
      <c r="A188" s="7" t="s">
        <v>2540</v>
      </c>
      <c r="B188" s="4" t="s">
        <v>2539</v>
      </c>
      <c r="C188" s="4" t="s">
        <v>2541</v>
      </c>
      <c r="D188" s="4" t="s">
        <v>2162</v>
      </c>
      <c r="E188" s="4" t="s">
        <v>2201</v>
      </c>
      <c r="F188" s="13" t="s">
        <v>2163</v>
      </c>
      <c r="G188" s="4" t="s">
        <v>2164</v>
      </c>
      <c r="H188" s="7" t="s">
        <v>2165</v>
      </c>
    </row>
    <row r="189" customFormat="false" ht="15" hidden="false" customHeight="false" outlineLevel="0" collapsed="false">
      <c r="A189" s="7" t="s">
        <v>2542</v>
      </c>
      <c r="B189" s="4" t="s">
        <v>2539</v>
      </c>
      <c r="C189" s="4" t="s">
        <v>2543</v>
      </c>
      <c r="D189" s="4" t="s">
        <v>2162</v>
      </c>
      <c r="E189" s="4" t="s">
        <v>2201</v>
      </c>
      <c r="F189" s="13" t="s">
        <v>2163</v>
      </c>
      <c r="G189" s="4" t="s">
        <v>2164</v>
      </c>
      <c r="H189" s="7" t="s">
        <v>2165</v>
      </c>
    </row>
    <row r="190" customFormat="false" ht="15" hidden="false" customHeight="false" outlineLevel="0" collapsed="false">
      <c r="A190" s="7" t="s">
        <v>2544</v>
      </c>
      <c r="B190" s="4" t="s">
        <v>2539</v>
      </c>
      <c r="C190" s="4" t="s">
        <v>2545</v>
      </c>
      <c r="D190" s="4" t="s">
        <v>2162</v>
      </c>
      <c r="E190" s="4" t="s">
        <v>2201</v>
      </c>
      <c r="F190" s="13" t="s">
        <v>2163</v>
      </c>
      <c r="G190" s="4" t="s">
        <v>2164</v>
      </c>
      <c r="H190" s="7" t="s">
        <v>2165</v>
      </c>
    </row>
    <row r="191" customFormat="false" ht="15" hidden="false" customHeight="false" outlineLevel="0" collapsed="false">
      <c r="A191" s="7" t="s">
        <v>2546</v>
      </c>
      <c r="B191" s="4" t="s">
        <v>2539</v>
      </c>
      <c r="C191" s="4" t="s">
        <v>2547</v>
      </c>
      <c r="D191" s="4" t="s">
        <v>2162</v>
      </c>
      <c r="E191" s="4" t="s">
        <v>2201</v>
      </c>
      <c r="F191" s="13" t="s">
        <v>2163</v>
      </c>
      <c r="G191" s="4" t="s">
        <v>2164</v>
      </c>
      <c r="H191" s="7" t="s">
        <v>2165</v>
      </c>
    </row>
    <row r="192" customFormat="false" ht="28.35" hidden="false" customHeight="false" outlineLevel="0" collapsed="false">
      <c r="A192" s="7" t="s">
        <v>2548</v>
      </c>
      <c r="B192" s="4" t="s">
        <v>2539</v>
      </c>
      <c r="C192" s="4" t="s">
        <v>2549</v>
      </c>
      <c r="D192" s="4" t="s">
        <v>2188</v>
      </c>
      <c r="E192" s="4" t="s">
        <v>2201</v>
      </c>
      <c r="F192" s="13" t="s">
        <v>2163</v>
      </c>
      <c r="G192" s="4" t="s">
        <v>2164</v>
      </c>
      <c r="H192" s="7" t="s">
        <v>2165</v>
      </c>
    </row>
    <row r="193" customFormat="false" ht="15" hidden="false" customHeight="false" outlineLevel="0" collapsed="false">
      <c r="A193" s="7" t="s">
        <v>2550</v>
      </c>
      <c r="B193" s="4" t="s">
        <v>2539</v>
      </c>
      <c r="C193" s="4" t="s">
        <v>2551</v>
      </c>
      <c r="D193" s="4" t="s">
        <v>2162</v>
      </c>
      <c r="E193" s="4" t="s">
        <v>2201</v>
      </c>
      <c r="F193" s="13" t="s">
        <v>2163</v>
      </c>
      <c r="G193" s="4" t="s">
        <v>2164</v>
      </c>
      <c r="H193" s="7" t="s">
        <v>2165</v>
      </c>
    </row>
    <row r="194" customFormat="false" ht="15" hidden="false" customHeight="false" outlineLevel="0" collapsed="false">
      <c r="A194" s="7" t="s">
        <v>2552</v>
      </c>
      <c r="B194" s="4" t="s">
        <v>2539</v>
      </c>
      <c r="C194" s="4" t="s">
        <v>2553</v>
      </c>
      <c r="D194" s="4" t="s">
        <v>2162</v>
      </c>
      <c r="E194" s="4" t="s">
        <v>2201</v>
      </c>
      <c r="F194" s="13" t="s">
        <v>2163</v>
      </c>
      <c r="G194" s="4" t="s">
        <v>2164</v>
      </c>
      <c r="H194" s="7" t="s">
        <v>2165</v>
      </c>
    </row>
    <row r="195" customFormat="false" ht="15" hidden="false" customHeight="false" outlineLevel="0" collapsed="false">
      <c r="A195" s="7" t="s">
        <v>2554</v>
      </c>
      <c r="B195" s="4" t="s">
        <v>2539</v>
      </c>
      <c r="C195" s="4" t="s">
        <v>2555</v>
      </c>
      <c r="D195" s="4" t="s">
        <v>2262</v>
      </c>
      <c r="E195" s="4" t="s">
        <v>2201</v>
      </c>
      <c r="F195" s="13" t="s">
        <v>2163</v>
      </c>
      <c r="G195" s="4" t="s">
        <v>2164</v>
      </c>
      <c r="H195" s="7" t="s">
        <v>2165</v>
      </c>
    </row>
    <row r="196" customFormat="false" ht="15" hidden="false" customHeight="false" outlineLevel="0" collapsed="false">
      <c r="A196" s="7" t="s">
        <v>2556</v>
      </c>
      <c r="B196" s="4" t="s">
        <v>2539</v>
      </c>
      <c r="C196" s="4" t="s">
        <v>2557</v>
      </c>
      <c r="D196" s="4" t="s">
        <v>2162</v>
      </c>
      <c r="E196" s="4" t="s">
        <v>2201</v>
      </c>
      <c r="F196" s="13" t="s">
        <v>2163</v>
      </c>
      <c r="G196" s="4" t="s">
        <v>2164</v>
      </c>
      <c r="H196" s="7" t="s">
        <v>2165</v>
      </c>
    </row>
    <row r="197" customFormat="false" ht="15" hidden="false" customHeight="false" outlineLevel="0" collapsed="false">
      <c r="A197" s="7" t="s">
        <v>2558</v>
      </c>
      <c r="B197" s="4" t="s">
        <v>2539</v>
      </c>
      <c r="C197" s="4" t="s">
        <v>2559</v>
      </c>
      <c r="D197" s="4" t="s">
        <v>2162</v>
      </c>
      <c r="E197" s="4" t="s">
        <v>2201</v>
      </c>
      <c r="F197" s="13" t="s">
        <v>2163</v>
      </c>
      <c r="G197" s="4" t="s">
        <v>2164</v>
      </c>
      <c r="H197" s="7" t="s">
        <v>2165</v>
      </c>
    </row>
    <row r="198" customFormat="false" ht="15" hidden="false" customHeight="false" outlineLevel="0" collapsed="false">
      <c r="A198" s="7" t="s">
        <v>2560</v>
      </c>
      <c r="B198" s="4" t="s">
        <v>2539</v>
      </c>
      <c r="C198" s="4" t="s">
        <v>2561</v>
      </c>
      <c r="D198" s="4" t="s">
        <v>2222</v>
      </c>
      <c r="E198" s="4" t="s">
        <v>2201</v>
      </c>
      <c r="F198" s="13" t="s">
        <v>2163</v>
      </c>
      <c r="G198" s="4" t="s">
        <v>2164</v>
      </c>
      <c r="H198" s="7" t="s">
        <v>2165</v>
      </c>
    </row>
    <row r="199" customFormat="false" ht="15" hidden="false" customHeight="false" outlineLevel="0" collapsed="false">
      <c r="A199" s="7" t="s">
        <v>2562</v>
      </c>
      <c r="B199" s="4" t="s">
        <v>2539</v>
      </c>
      <c r="C199" s="4" t="s">
        <v>2563</v>
      </c>
      <c r="D199" s="4" t="s">
        <v>2162</v>
      </c>
      <c r="E199" s="4" t="s">
        <v>2201</v>
      </c>
      <c r="F199" s="13" t="s">
        <v>2163</v>
      </c>
      <c r="G199" s="4" t="s">
        <v>2164</v>
      </c>
      <c r="H199" s="7" t="s">
        <v>2165</v>
      </c>
    </row>
    <row r="200" customFormat="false" ht="15" hidden="false" customHeight="false" outlineLevel="0" collapsed="false">
      <c r="A200" s="7" t="s">
        <v>2564</v>
      </c>
      <c r="B200" s="4" t="s">
        <v>2539</v>
      </c>
      <c r="C200" s="4" t="s">
        <v>2565</v>
      </c>
      <c r="D200" s="4" t="s">
        <v>2162</v>
      </c>
      <c r="E200" s="4" t="s">
        <v>2201</v>
      </c>
      <c r="F200" s="13" t="s">
        <v>2163</v>
      </c>
      <c r="G200" s="4" t="s">
        <v>2164</v>
      </c>
      <c r="H200" s="7" t="s">
        <v>2165</v>
      </c>
    </row>
    <row r="201" customFormat="false" ht="15" hidden="false" customHeight="false" outlineLevel="0" collapsed="false">
      <c r="A201" s="7" t="s">
        <v>2566</v>
      </c>
      <c r="B201" s="4" t="s">
        <v>2567</v>
      </c>
      <c r="C201" s="4" t="s">
        <v>2567</v>
      </c>
      <c r="D201" s="4" t="s">
        <v>2162</v>
      </c>
      <c r="E201" s="4" t="s">
        <v>82</v>
      </c>
      <c r="F201" s="13" t="s">
        <v>2163</v>
      </c>
      <c r="G201" s="4" t="s">
        <v>2164</v>
      </c>
      <c r="H201" s="7" t="s">
        <v>2165</v>
      </c>
    </row>
    <row r="202" customFormat="false" ht="15" hidden="false" customHeight="false" outlineLevel="0" collapsed="false">
      <c r="A202" s="7" t="s">
        <v>2568</v>
      </c>
      <c r="B202" s="4" t="s">
        <v>2567</v>
      </c>
      <c r="C202" s="4" t="s">
        <v>2569</v>
      </c>
      <c r="D202" s="4" t="s">
        <v>2162</v>
      </c>
      <c r="E202" s="4" t="s">
        <v>2201</v>
      </c>
      <c r="F202" s="13" t="s">
        <v>2163</v>
      </c>
      <c r="G202" s="4" t="s">
        <v>2164</v>
      </c>
      <c r="H202" s="7" t="s">
        <v>2165</v>
      </c>
    </row>
    <row r="203" customFormat="false" ht="15" hidden="false" customHeight="false" outlineLevel="0" collapsed="false">
      <c r="A203" s="7" t="s">
        <v>2570</v>
      </c>
      <c r="B203" s="4" t="s">
        <v>2567</v>
      </c>
      <c r="C203" s="4" t="s">
        <v>2571</v>
      </c>
      <c r="D203" s="4" t="s">
        <v>2162</v>
      </c>
      <c r="E203" s="4" t="s">
        <v>2201</v>
      </c>
      <c r="F203" s="13" t="s">
        <v>2163</v>
      </c>
      <c r="G203" s="4" t="s">
        <v>2164</v>
      </c>
      <c r="H203" s="7" t="s">
        <v>2165</v>
      </c>
    </row>
    <row r="204" customFormat="false" ht="15" hidden="false" customHeight="false" outlineLevel="0" collapsed="false">
      <c r="A204" s="7" t="s">
        <v>2572</v>
      </c>
      <c r="B204" s="4" t="s">
        <v>2567</v>
      </c>
      <c r="C204" s="4" t="s">
        <v>2573</v>
      </c>
      <c r="D204" s="4" t="s">
        <v>2162</v>
      </c>
      <c r="E204" s="4" t="s">
        <v>2201</v>
      </c>
      <c r="F204" s="13" t="s">
        <v>2163</v>
      </c>
      <c r="G204" s="4" t="s">
        <v>2164</v>
      </c>
      <c r="H204" s="7" t="s">
        <v>2165</v>
      </c>
    </row>
    <row r="205" customFormat="false" ht="15" hidden="false" customHeight="false" outlineLevel="0" collapsed="false">
      <c r="A205" s="7" t="s">
        <v>2574</v>
      </c>
      <c r="B205" s="4" t="s">
        <v>2567</v>
      </c>
      <c r="C205" s="4" t="s">
        <v>2575</v>
      </c>
      <c r="D205" s="4" t="s">
        <v>2162</v>
      </c>
      <c r="E205" s="4" t="s">
        <v>2201</v>
      </c>
      <c r="F205" s="13" t="s">
        <v>2163</v>
      </c>
      <c r="G205" s="4" t="s">
        <v>2164</v>
      </c>
      <c r="H205" s="7" t="s">
        <v>2165</v>
      </c>
    </row>
    <row r="206" customFormat="false" ht="15" hidden="false" customHeight="false" outlineLevel="0" collapsed="false">
      <c r="A206" s="7" t="s">
        <v>2576</v>
      </c>
      <c r="B206" s="4" t="s">
        <v>2567</v>
      </c>
      <c r="C206" s="4" t="s">
        <v>2577</v>
      </c>
      <c r="D206" s="4" t="s">
        <v>2162</v>
      </c>
      <c r="E206" s="4" t="s">
        <v>2201</v>
      </c>
      <c r="F206" s="13" t="s">
        <v>2163</v>
      </c>
      <c r="G206" s="4" t="s">
        <v>2164</v>
      </c>
      <c r="H206" s="7" t="s">
        <v>2165</v>
      </c>
    </row>
    <row r="207" customFormat="false" ht="15" hidden="false" customHeight="false" outlineLevel="0" collapsed="false">
      <c r="A207" s="7" t="s">
        <v>2578</v>
      </c>
      <c r="B207" s="4" t="s">
        <v>2567</v>
      </c>
      <c r="C207" s="4" t="s">
        <v>2579</v>
      </c>
      <c r="D207" s="4" t="s">
        <v>2162</v>
      </c>
      <c r="E207" s="4" t="s">
        <v>2201</v>
      </c>
      <c r="F207" s="13" t="s">
        <v>2163</v>
      </c>
      <c r="G207" s="4" t="s">
        <v>2164</v>
      </c>
      <c r="H207" s="7" t="s">
        <v>2165</v>
      </c>
    </row>
    <row r="208" customFormat="false" ht="15" hidden="false" customHeight="false" outlineLevel="0" collapsed="false">
      <c r="A208" s="7" t="s">
        <v>2580</v>
      </c>
      <c r="B208" s="7" t="s">
        <v>2567</v>
      </c>
      <c r="C208" s="7" t="s">
        <v>2581</v>
      </c>
      <c r="D208" s="7" t="s">
        <v>2162</v>
      </c>
      <c r="E208" s="7" t="s">
        <v>2201</v>
      </c>
      <c r="F208" s="10" t="s">
        <v>2163</v>
      </c>
      <c r="G208" s="7" t="s">
        <v>2164</v>
      </c>
      <c r="H208" s="7" t="s">
        <v>2165</v>
      </c>
    </row>
  </sheetData>
  <mergeCells count="2">
    <mergeCell ref="A1:H1"/>
    <mergeCell ref="A2:H2"/>
  </mergeCells>
  <conditionalFormatting sqref="F5:F208">
    <cfRule type="expression" priority="2" aboveAverage="0" equalAverage="0" bottom="0" percent="0" rank="0" text="" dxfId="13">
      <formula>F5="Couvert"</formula>
    </cfRule>
    <cfRule type="expression" priority="3" aboveAverage="0" equalAverage="0" bottom="0" percent="0" rank="0" text="" dxfId="14">
      <formula>F5="Arbitrage requis"</formula>
    </cfRule>
  </conditionalFormatting>
  <dataValidations count="1">
    <dataValidation allowBlank="false" errorStyle="stop" operator="between" showDropDown="false" showErrorMessage="false" showInputMessage="false" sqref="F5:F208" type="list">
      <formula1>"À intégrer / contrôler,Couvert,Partiellement couvert,Arbitrage requis,Hors périmètre"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4"/>
    <col collapsed="false" customWidth="true" hidden="false" outlineLevel="0" max="3" min="3" style="1" width="18"/>
    <col collapsed="false" customWidth="true" hidden="false" outlineLevel="0" max="4" min="4" style="1" width="14"/>
    <col collapsed="false" customWidth="true" hidden="false" outlineLevel="0" max="5" min="5" style="1" width="18"/>
    <col collapsed="false" customWidth="true" hidden="false" outlineLevel="0" max="6" min="6" style="1" width="52"/>
  </cols>
  <sheetData>
    <row r="1" customFormat="false" ht="33.75" hidden="false" customHeight="true" outlineLevel="0" collapsed="false">
      <c r="A1" s="2" t="s">
        <v>2582</v>
      </c>
      <c r="B1" s="2"/>
      <c r="C1" s="2"/>
      <c r="D1" s="2"/>
      <c r="E1" s="2"/>
      <c r="F1" s="2"/>
    </row>
    <row r="2" customFormat="false" ht="31.5" hidden="false" customHeight="true" outlineLevel="0" collapsed="false">
      <c r="A2" s="3" t="s">
        <v>2583</v>
      </c>
      <c r="B2" s="3"/>
      <c r="C2" s="3"/>
      <c r="D2" s="3"/>
      <c r="E2" s="3"/>
      <c r="F2" s="3"/>
    </row>
    <row r="3" customFormat="false" ht="15" hidden="false" customHeight="false" outlineLevel="0" collapsed="false">
      <c r="A3" s="4"/>
      <c r="B3" s="4"/>
      <c r="C3" s="4"/>
      <c r="D3" s="4"/>
      <c r="E3" s="4"/>
      <c r="F3" s="4"/>
    </row>
    <row r="4" customFormat="false" ht="30" hidden="false" customHeight="true" outlineLevel="0" collapsed="false">
      <c r="A4" s="5" t="s">
        <v>2584</v>
      </c>
      <c r="B4" s="5" t="s">
        <v>2585</v>
      </c>
      <c r="C4" s="5" t="s">
        <v>2586</v>
      </c>
      <c r="D4" s="5" t="s">
        <v>41</v>
      </c>
      <c r="E4" s="5" t="s">
        <v>13</v>
      </c>
      <c r="F4" s="5" t="s">
        <v>2587</v>
      </c>
    </row>
    <row r="5" customFormat="false" ht="15" hidden="false" customHeight="false" outlineLevel="0" collapsed="false">
      <c r="A5" s="6" t="s">
        <v>2588</v>
      </c>
      <c r="B5" s="4" t="n">
        <v>11</v>
      </c>
      <c r="C5" s="4" t="n">
        <v>11</v>
      </c>
      <c r="D5" s="4" t="n">
        <f aca="false">B5-C5</f>
        <v>0</v>
      </c>
      <c r="E5" s="4" t="str">
        <f aca="false">IF(D5=0,"OK","À corriger")</f>
        <v>OK</v>
      </c>
      <c r="F5" s="7" t="s">
        <v>2589</v>
      </c>
    </row>
    <row r="6" customFormat="false" ht="15" hidden="false" customHeight="false" outlineLevel="0" collapsed="false">
      <c r="A6" s="6" t="s">
        <v>2590</v>
      </c>
      <c r="B6" s="4" t="n">
        <v>1079</v>
      </c>
      <c r="C6" s="4" t="n">
        <v>1079</v>
      </c>
      <c r="D6" s="4" t="n">
        <f aca="false">B6-C6</f>
        <v>0</v>
      </c>
      <c r="E6" s="4" t="str">
        <f aca="false">IF(D6=0,"OK","À corriger")</f>
        <v>OK</v>
      </c>
      <c r="F6" s="7" t="s">
        <v>2591</v>
      </c>
    </row>
    <row r="7" customFormat="false" ht="15" hidden="false" customHeight="false" outlineLevel="0" collapsed="false">
      <c r="A7" s="6" t="s">
        <v>2592</v>
      </c>
      <c r="B7" s="4" t="n">
        <v>0</v>
      </c>
      <c r="C7" s="4" t="n">
        <v>0</v>
      </c>
      <c r="D7" s="4" t="n">
        <f aca="false">B7-C7</f>
        <v>0</v>
      </c>
      <c r="E7" s="4" t="str">
        <f aca="false">IF(D7=0,"OK","À corriger")</f>
        <v>OK</v>
      </c>
      <c r="F7" s="7" t="s">
        <v>2593</v>
      </c>
    </row>
    <row r="8" customFormat="false" ht="15" hidden="false" customHeight="false" outlineLevel="0" collapsed="false">
      <c r="A8" s="6" t="s">
        <v>2594</v>
      </c>
      <c r="B8" s="4" t="n">
        <v>0</v>
      </c>
      <c r="C8" s="4" t="n">
        <v>0</v>
      </c>
      <c r="D8" s="4" t="n">
        <f aca="false">B8-C8</f>
        <v>0</v>
      </c>
      <c r="E8" s="4" t="str">
        <f aca="false">IF(D8=0,"OK","À corriger")</f>
        <v>OK</v>
      </c>
      <c r="F8" s="7" t="s">
        <v>2595</v>
      </c>
    </row>
    <row r="9" customFormat="false" ht="15" hidden="false" customHeight="false" outlineLevel="0" collapsed="false">
      <c r="A9" s="6" t="s">
        <v>2596</v>
      </c>
      <c r="B9" s="4" t="n">
        <v>104</v>
      </c>
      <c r="C9" s="4" t="s">
        <v>2597</v>
      </c>
      <c r="D9" s="4" t="s">
        <v>2598</v>
      </c>
      <c r="E9" s="4" t="s">
        <v>2599</v>
      </c>
      <c r="F9" s="7" t="s">
        <v>2600</v>
      </c>
    </row>
    <row r="10" customFormat="false" ht="15" hidden="false" customHeight="false" outlineLevel="0" collapsed="false">
      <c r="A10" s="6" t="s">
        <v>2601</v>
      </c>
      <c r="B10" s="7" t="n">
        <v>204</v>
      </c>
      <c r="C10" s="7" t="n">
        <v>204</v>
      </c>
      <c r="D10" s="7" t="n">
        <f aca="false">B10-C10</f>
        <v>0</v>
      </c>
      <c r="E10" s="10" t="str">
        <f aca="false">IF(D10=0,"OK","À corriger")</f>
        <v>OK</v>
      </c>
      <c r="F10" s="7" t="s">
        <v>2602</v>
      </c>
    </row>
    <row r="11" customFormat="false" ht="15" hidden="false" customHeight="false" outlineLevel="0" collapsed="false">
      <c r="A11" s="4"/>
      <c r="B11" s="4"/>
      <c r="C11" s="4"/>
      <c r="D11" s="4"/>
      <c r="E11" s="4"/>
      <c r="F11" s="4"/>
    </row>
    <row r="12" customFormat="false" ht="15" hidden="false" customHeight="false" outlineLevel="0" collapsed="false">
      <c r="A12" s="4"/>
      <c r="B12" s="4"/>
      <c r="C12" s="4"/>
      <c r="D12" s="4"/>
      <c r="E12" s="4"/>
      <c r="F12" s="4"/>
    </row>
    <row r="13" customFormat="false" ht="30" hidden="false" customHeight="true" outlineLevel="0" collapsed="false">
      <c r="A13" s="5" t="s">
        <v>2603</v>
      </c>
      <c r="B13" s="5"/>
      <c r="C13" s="5"/>
      <c r="D13" s="5"/>
      <c r="E13" s="5"/>
      <c r="F13" s="5"/>
    </row>
    <row r="14" customFormat="false" ht="68.65" hidden="false" customHeight="false" outlineLevel="0" collapsed="false">
      <c r="A14" s="14" t="s">
        <v>2604</v>
      </c>
      <c r="B14" s="7" t="s">
        <v>2605</v>
      </c>
      <c r="C14" s="4"/>
      <c r="D14" s="4"/>
      <c r="E14" s="4"/>
      <c r="F14" s="4"/>
    </row>
    <row r="15" customFormat="false" ht="68.65" hidden="false" customHeight="false" outlineLevel="0" collapsed="false">
      <c r="A15" s="14" t="s">
        <v>2606</v>
      </c>
      <c r="B15" s="7" t="s">
        <v>2607</v>
      </c>
      <c r="C15" s="4"/>
      <c r="D15" s="4"/>
      <c r="E15" s="4"/>
      <c r="F15" s="4"/>
    </row>
    <row r="16" customFormat="false" ht="68.65" hidden="false" customHeight="false" outlineLevel="0" collapsed="false">
      <c r="A16" s="14" t="s">
        <v>2608</v>
      </c>
      <c r="B16" s="7" t="s">
        <v>2609</v>
      </c>
      <c r="C16" s="4"/>
      <c r="D16" s="4"/>
      <c r="E16" s="4"/>
      <c r="F16" s="4"/>
    </row>
    <row r="17" customFormat="false" ht="55.2" hidden="false" customHeight="false" outlineLevel="0" collapsed="false">
      <c r="A17" s="14" t="s">
        <v>2610</v>
      </c>
      <c r="B17" s="7" t="s">
        <v>2611</v>
      </c>
      <c r="C17" s="4"/>
      <c r="D17" s="4"/>
      <c r="E17" s="4"/>
      <c r="F17" s="4"/>
    </row>
    <row r="18" customFormat="false" ht="55.2" hidden="false" customHeight="false" outlineLevel="0" collapsed="false">
      <c r="A18" s="14" t="s">
        <v>2135</v>
      </c>
      <c r="B18" s="7" t="s">
        <v>2612</v>
      </c>
      <c r="C18" s="4"/>
      <c r="D18" s="4"/>
      <c r="E18" s="4"/>
      <c r="F18" s="4"/>
    </row>
    <row r="19" customFormat="false" ht="68.65" hidden="false" customHeight="false" outlineLevel="0" collapsed="false">
      <c r="A19" s="14" t="s">
        <v>2613</v>
      </c>
      <c r="B19" s="7" t="s">
        <v>2614</v>
      </c>
      <c r="C19" s="4"/>
      <c r="D19" s="4"/>
      <c r="E19" s="4"/>
      <c r="F19" s="4"/>
    </row>
  </sheetData>
  <mergeCells count="3">
    <mergeCell ref="A1:F1"/>
    <mergeCell ref="A2:F2"/>
    <mergeCell ref="A13:F13"/>
  </mergeCells>
  <conditionalFormatting sqref="E5:E10">
    <cfRule type="expression" priority="2" aboveAverage="0" equalAverage="0" bottom="0" percent="0" rank="0" text="" dxfId="5">
      <formula>E5="OK"</formula>
    </cfRule>
    <cfRule type="expression" priority="3" aboveAverage="0" equalAverage="0" bottom="0" percent="0" rank="0" text="" dxfId="10">
      <formula>E5="À corriger"</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24"/>
    <col collapsed="false" customWidth="true" hidden="false" outlineLevel="0" max="4" min="4" style="1" width="20"/>
    <col collapsed="false" customWidth="true" hidden="false" outlineLevel="0" max="5" min="5" style="1" width="70"/>
    <col collapsed="false" customWidth="true" hidden="false" outlineLevel="0" max="6" min="6" style="1" width="28"/>
    <col collapsed="false" customWidth="true" hidden="false" outlineLevel="0" max="7" min="7" style="1" width="10"/>
    <col collapsed="false" customWidth="true" hidden="false" outlineLevel="0" max="8" min="8" style="1" width="28"/>
    <col collapsed="false" customWidth="true" hidden="false" outlineLevel="0" max="9" min="9" style="1" width="40"/>
    <col collapsed="false" customWidth="true" hidden="false" outlineLevel="0" max="10" min="10" style="1" width="18"/>
  </cols>
  <sheetData>
    <row r="1" customFormat="false" ht="16.15" hidden="false" customHeight="false" outlineLevel="0" collapsed="false">
      <c r="A1" s="15" t="s">
        <v>2615</v>
      </c>
    </row>
    <row r="2" customFormat="false" ht="15" hidden="false" customHeight="false" outlineLevel="0" collapsed="false">
      <c r="A2" s="16" t="s">
        <v>2616</v>
      </c>
    </row>
    <row r="4" customFormat="false" ht="23.85" hidden="false" customHeight="false" outlineLevel="0" collapsed="false">
      <c r="A4" s="17" t="s">
        <v>67</v>
      </c>
      <c r="B4" s="17" t="s">
        <v>2617</v>
      </c>
      <c r="C4" s="17" t="s">
        <v>74</v>
      </c>
      <c r="D4" s="17" t="s">
        <v>2618</v>
      </c>
      <c r="E4" s="17" t="s">
        <v>73</v>
      </c>
      <c r="F4" s="17" t="s">
        <v>2619</v>
      </c>
      <c r="G4" s="17" t="s">
        <v>2620</v>
      </c>
      <c r="H4" s="17" t="s">
        <v>2621</v>
      </c>
      <c r="I4" s="17" t="s">
        <v>2622</v>
      </c>
      <c r="J4" s="17" t="s">
        <v>2623</v>
      </c>
    </row>
    <row r="5" customFormat="false" ht="15" hidden="false" customHeight="false" outlineLevel="0" collapsed="false">
      <c r="A5" s="18" t="s">
        <v>80</v>
      </c>
      <c r="B5" s="18" t="s">
        <v>42</v>
      </c>
      <c r="C5" s="18" t="s">
        <v>83</v>
      </c>
      <c r="D5" s="18" t="s">
        <v>84</v>
      </c>
      <c r="E5" s="19" t="s">
        <v>81</v>
      </c>
      <c r="F5" s="18" t="s">
        <v>2624</v>
      </c>
      <c r="G5" s="18" t="n">
        <v>1</v>
      </c>
      <c r="H5" s="18" t="s">
        <v>2625</v>
      </c>
      <c r="I5" s="19"/>
      <c r="J5" s="18"/>
    </row>
    <row r="6" customFormat="false" ht="15" hidden="false" customHeight="false" outlineLevel="0" collapsed="false">
      <c r="A6" s="18" t="s">
        <v>89</v>
      </c>
      <c r="B6" s="18" t="s">
        <v>42</v>
      </c>
      <c r="C6" s="18" t="s">
        <v>83</v>
      </c>
      <c r="D6" s="18" t="s">
        <v>84</v>
      </c>
      <c r="E6" s="19" t="s">
        <v>90</v>
      </c>
      <c r="F6" s="18" t="s">
        <v>2624</v>
      </c>
      <c r="G6" s="18" t="n">
        <v>1</v>
      </c>
      <c r="H6" s="18" t="s">
        <v>2626</v>
      </c>
      <c r="I6" s="19"/>
      <c r="J6" s="18"/>
    </row>
    <row r="7" customFormat="false" ht="15" hidden="false" customHeight="false" outlineLevel="0" collapsed="false">
      <c r="A7" s="18" t="s">
        <v>91</v>
      </c>
      <c r="B7" s="18" t="s">
        <v>42</v>
      </c>
      <c r="C7" s="18" t="s">
        <v>83</v>
      </c>
      <c r="D7" s="18" t="s">
        <v>93</v>
      </c>
      <c r="E7" s="19" t="s">
        <v>92</v>
      </c>
      <c r="F7" s="18" t="s">
        <v>2624</v>
      </c>
      <c r="G7" s="18" t="n">
        <v>1</v>
      </c>
      <c r="H7" s="18" t="s">
        <v>2625</v>
      </c>
      <c r="I7" s="19"/>
      <c r="J7" s="18"/>
    </row>
    <row r="8" customFormat="false" ht="15" hidden="false" customHeight="false" outlineLevel="0" collapsed="false">
      <c r="A8" s="18" t="s">
        <v>97</v>
      </c>
      <c r="B8" s="18" t="s">
        <v>42</v>
      </c>
      <c r="C8" s="18" t="s">
        <v>83</v>
      </c>
      <c r="D8" s="18" t="s">
        <v>93</v>
      </c>
      <c r="E8" s="19" t="s">
        <v>99</v>
      </c>
      <c r="F8" s="18" t="s">
        <v>2627</v>
      </c>
      <c r="G8" s="18" t="n">
        <v>0</v>
      </c>
      <c r="H8" s="18"/>
      <c r="I8" s="19" t="s">
        <v>2628</v>
      </c>
      <c r="J8" s="18"/>
    </row>
    <row r="9" customFormat="false" ht="15" hidden="false" customHeight="false" outlineLevel="0" collapsed="false">
      <c r="A9" s="18" t="s">
        <v>100</v>
      </c>
      <c r="B9" s="18" t="s">
        <v>42</v>
      </c>
      <c r="C9" s="18" t="s">
        <v>83</v>
      </c>
      <c r="D9" s="18" t="s">
        <v>93</v>
      </c>
      <c r="E9" s="19" t="s">
        <v>101</v>
      </c>
      <c r="F9" s="18" t="s">
        <v>2627</v>
      </c>
      <c r="G9" s="18" t="n">
        <v>0</v>
      </c>
      <c r="H9" s="18"/>
      <c r="I9" s="19" t="s">
        <v>2628</v>
      </c>
      <c r="J9" s="18"/>
    </row>
    <row r="10" customFormat="false" ht="15" hidden="false" customHeight="false" outlineLevel="0" collapsed="false">
      <c r="A10" s="18" t="s">
        <v>102</v>
      </c>
      <c r="B10" s="18" t="s">
        <v>42</v>
      </c>
      <c r="C10" s="18" t="s">
        <v>83</v>
      </c>
      <c r="D10" s="18" t="s">
        <v>93</v>
      </c>
      <c r="E10" s="19" t="s">
        <v>103</v>
      </c>
      <c r="F10" s="18" t="s">
        <v>2627</v>
      </c>
      <c r="G10" s="18" t="n">
        <v>0</v>
      </c>
      <c r="H10" s="18"/>
      <c r="I10" s="19" t="s">
        <v>2628</v>
      </c>
      <c r="J10" s="18"/>
    </row>
    <row r="11" customFormat="false" ht="15" hidden="false" customHeight="false" outlineLevel="0" collapsed="false">
      <c r="A11" s="18" t="s">
        <v>104</v>
      </c>
      <c r="B11" s="18" t="s">
        <v>42</v>
      </c>
      <c r="C11" s="18" t="s">
        <v>83</v>
      </c>
      <c r="D11" s="18" t="s">
        <v>93</v>
      </c>
      <c r="E11" s="19" t="s">
        <v>105</v>
      </c>
      <c r="F11" s="18" t="s">
        <v>2627</v>
      </c>
      <c r="G11" s="18" t="n">
        <v>0.2</v>
      </c>
      <c r="H11" s="18"/>
      <c r="I11" s="19" t="s">
        <v>2628</v>
      </c>
      <c r="J11" s="18"/>
    </row>
    <row r="12" customFormat="false" ht="22.35" hidden="false" customHeight="false" outlineLevel="0" collapsed="false">
      <c r="A12" s="18" t="s">
        <v>106</v>
      </c>
      <c r="B12" s="18" t="s">
        <v>42</v>
      </c>
      <c r="C12" s="18" t="s">
        <v>83</v>
      </c>
      <c r="D12" s="18" t="s">
        <v>93</v>
      </c>
      <c r="E12" s="19" t="s">
        <v>107</v>
      </c>
      <c r="F12" s="18" t="s">
        <v>2627</v>
      </c>
      <c r="G12" s="18" t="n">
        <v>0</v>
      </c>
      <c r="H12" s="18"/>
      <c r="I12" s="19" t="s">
        <v>2628</v>
      </c>
      <c r="J12" s="18"/>
    </row>
    <row r="13" customFormat="false" ht="22.35" hidden="false" customHeight="false" outlineLevel="0" collapsed="false">
      <c r="A13" s="18" t="s">
        <v>108</v>
      </c>
      <c r="B13" s="18" t="s">
        <v>42</v>
      </c>
      <c r="C13" s="18" t="s">
        <v>83</v>
      </c>
      <c r="D13" s="18" t="s">
        <v>93</v>
      </c>
      <c r="E13" s="19" t="s">
        <v>109</v>
      </c>
      <c r="F13" s="18" t="s">
        <v>2627</v>
      </c>
      <c r="G13" s="18" t="n">
        <v>0.05</v>
      </c>
      <c r="H13" s="18"/>
      <c r="I13" s="19" t="s">
        <v>2628</v>
      </c>
      <c r="J13" s="18"/>
    </row>
    <row r="14" customFormat="false" ht="43.25" hidden="false" customHeight="false" outlineLevel="0" collapsed="false">
      <c r="A14" s="18" t="s">
        <v>110</v>
      </c>
      <c r="B14" s="18" t="s">
        <v>42</v>
      </c>
      <c r="C14" s="18" t="s">
        <v>83</v>
      </c>
      <c r="D14" s="18" t="s">
        <v>93</v>
      </c>
      <c r="E14" s="19" t="s">
        <v>111</v>
      </c>
      <c r="F14" s="18" t="s">
        <v>2627</v>
      </c>
      <c r="G14" s="18" t="n">
        <v>0.17</v>
      </c>
      <c r="H14" s="18"/>
      <c r="I14" s="19" t="s">
        <v>2628</v>
      </c>
      <c r="J14" s="18"/>
    </row>
    <row r="15" customFormat="false" ht="15" hidden="false" customHeight="false" outlineLevel="0" collapsed="false">
      <c r="A15" s="18" t="s">
        <v>112</v>
      </c>
      <c r="B15" s="18" t="s">
        <v>42</v>
      </c>
      <c r="C15" s="18" t="s">
        <v>83</v>
      </c>
      <c r="D15" s="18" t="s">
        <v>93</v>
      </c>
      <c r="E15" s="19" t="s">
        <v>113</v>
      </c>
      <c r="F15" s="18" t="s">
        <v>2624</v>
      </c>
      <c r="G15" s="18" t="n">
        <v>1</v>
      </c>
      <c r="H15" s="18" t="s">
        <v>2625</v>
      </c>
      <c r="I15" s="19"/>
      <c r="J15" s="18"/>
    </row>
    <row r="16" customFormat="false" ht="15" hidden="false" customHeight="false" outlineLevel="0" collapsed="false">
      <c r="A16" s="18" t="s">
        <v>114</v>
      </c>
      <c r="B16" s="18" t="s">
        <v>42</v>
      </c>
      <c r="C16" s="18" t="s">
        <v>83</v>
      </c>
      <c r="D16" s="18" t="s">
        <v>93</v>
      </c>
      <c r="E16" s="19" t="s">
        <v>115</v>
      </c>
      <c r="F16" s="18" t="s">
        <v>2627</v>
      </c>
      <c r="G16" s="18" t="n">
        <v>0</v>
      </c>
      <c r="H16" s="18"/>
      <c r="I16" s="19" t="s">
        <v>2628</v>
      </c>
      <c r="J16" s="18"/>
    </row>
    <row r="17" customFormat="false" ht="15" hidden="false" customHeight="false" outlineLevel="0" collapsed="false">
      <c r="A17" s="18" t="s">
        <v>116</v>
      </c>
      <c r="B17" s="18" t="s">
        <v>42</v>
      </c>
      <c r="C17" s="18" t="s">
        <v>83</v>
      </c>
      <c r="D17" s="18" t="s">
        <v>93</v>
      </c>
      <c r="E17" s="19" t="s">
        <v>117</v>
      </c>
      <c r="F17" s="18" t="s">
        <v>2627</v>
      </c>
      <c r="G17" s="18" t="n">
        <v>0</v>
      </c>
      <c r="H17" s="18"/>
      <c r="I17" s="19" t="s">
        <v>2628</v>
      </c>
      <c r="J17" s="18"/>
    </row>
    <row r="18" customFormat="false" ht="15" hidden="false" customHeight="false" outlineLevel="0" collapsed="false">
      <c r="A18" s="18" t="s">
        <v>118</v>
      </c>
      <c r="B18" s="18" t="s">
        <v>42</v>
      </c>
      <c r="C18" s="18" t="s">
        <v>83</v>
      </c>
      <c r="D18" s="18" t="s">
        <v>93</v>
      </c>
      <c r="E18" s="19" t="s">
        <v>119</v>
      </c>
      <c r="F18" s="18" t="s">
        <v>2627</v>
      </c>
      <c r="G18" s="18" t="n">
        <v>0.38</v>
      </c>
      <c r="H18" s="18" t="s">
        <v>2626</v>
      </c>
      <c r="I18" s="19" t="s">
        <v>2628</v>
      </c>
      <c r="J18" s="18"/>
    </row>
    <row r="19" customFormat="false" ht="15" hidden="false" customHeight="false" outlineLevel="0" collapsed="false">
      <c r="A19" s="18" t="s">
        <v>120</v>
      </c>
      <c r="B19" s="18" t="s">
        <v>42</v>
      </c>
      <c r="C19" s="18" t="s">
        <v>83</v>
      </c>
      <c r="D19" s="18" t="s">
        <v>93</v>
      </c>
      <c r="E19" s="19" t="s">
        <v>121</v>
      </c>
      <c r="F19" s="18" t="s">
        <v>2627</v>
      </c>
      <c r="G19" s="18" t="n">
        <v>0.5</v>
      </c>
      <c r="H19" s="18" t="s">
        <v>2625</v>
      </c>
      <c r="I19" s="19" t="s">
        <v>2628</v>
      </c>
      <c r="J19" s="18"/>
    </row>
    <row r="20" customFormat="false" ht="15" hidden="false" customHeight="false" outlineLevel="0" collapsed="false">
      <c r="A20" s="18" t="s">
        <v>122</v>
      </c>
      <c r="B20" s="18" t="s">
        <v>42</v>
      </c>
      <c r="C20" s="18" t="s">
        <v>83</v>
      </c>
      <c r="D20" s="18" t="s">
        <v>93</v>
      </c>
      <c r="E20" s="19" t="s">
        <v>123</v>
      </c>
      <c r="F20" s="18" t="s">
        <v>2624</v>
      </c>
      <c r="G20" s="18" t="n">
        <v>1</v>
      </c>
      <c r="H20" s="18" t="s">
        <v>2625</v>
      </c>
      <c r="I20" s="19"/>
      <c r="J20" s="18"/>
    </row>
    <row r="21" customFormat="false" ht="15" hidden="false" customHeight="false" outlineLevel="0" collapsed="false">
      <c r="A21" s="18" t="s">
        <v>124</v>
      </c>
      <c r="B21" s="18" t="s">
        <v>42</v>
      </c>
      <c r="C21" s="18" t="s">
        <v>126</v>
      </c>
      <c r="D21" s="18" t="s">
        <v>93</v>
      </c>
      <c r="E21" s="19" t="s">
        <v>125</v>
      </c>
      <c r="F21" s="18" t="s">
        <v>2624</v>
      </c>
      <c r="G21" s="18" t="n">
        <v>1</v>
      </c>
      <c r="H21" s="18" t="s">
        <v>2625</v>
      </c>
      <c r="I21" s="19"/>
      <c r="J21" s="18"/>
    </row>
    <row r="22" customFormat="false" ht="15" hidden="false" customHeight="false" outlineLevel="0" collapsed="false">
      <c r="A22" s="18" t="s">
        <v>127</v>
      </c>
      <c r="B22" s="18" t="s">
        <v>42</v>
      </c>
      <c r="C22" s="18" t="s">
        <v>83</v>
      </c>
      <c r="D22" s="18" t="s">
        <v>93</v>
      </c>
      <c r="E22" s="19" t="s">
        <v>128</v>
      </c>
      <c r="F22" s="18" t="s">
        <v>2627</v>
      </c>
      <c r="G22" s="18" t="n">
        <v>0.14</v>
      </c>
      <c r="H22" s="18"/>
      <c r="I22" s="19" t="s">
        <v>2628</v>
      </c>
      <c r="J22" s="18"/>
    </row>
    <row r="23" customFormat="false" ht="15" hidden="false" customHeight="false" outlineLevel="0" collapsed="false">
      <c r="A23" s="18" t="s">
        <v>129</v>
      </c>
      <c r="B23" s="18" t="s">
        <v>42</v>
      </c>
      <c r="C23" s="18" t="s">
        <v>83</v>
      </c>
      <c r="D23" s="18" t="s">
        <v>93</v>
      </c>
      <c r="E23" s="19" t="s">
        <v>130</v>
      </c>
      <c r="F23" s="18" t="s">
        <v>2627</v>
      </c>
      <c r="G23" s="18" t="n">
        <v>0</v>
      </c>
      <c r="H23" s="18"/>
      <c r="I23" s="19" t="s">
        <v>2628</v>
      </c>
      <c r="J23" s="18"/>
    </row>
    <row r="24" customFormat="false" ht="22.35" hidden="false" customHeight="false" outlineLevel="0" collapsed="false">
      <c r="A24" s="18" t="s">
        <v>131</v>
      </c>
      <c r="B24" s="18" t="s">
        <v>42</v>
      </c>
      <c r="C24" s="18" t="s">
        <v>83</v>
      </c>
      <c r="D24" s="18" t="s">
        <v>93</v>
      </c>
      <c r="E24" s="19" t="s">
        <v>133</v>
      </c>
      <c r="F24" s="18" t="s">
        <v>2627</v>
      </c>
      <c r="G24" s="18" t="n">
        <v>0.04</v>
      </c>
      <c r="H24" s="18"/>
      <c r="I24" s="19" t="s">
        <v>2628</v>
      </c>
      <c r="J24" s="18"/>
    </row>
    <row r="25" customFormat="false" ht="15" hidden="false" customHeight="false" outlineLevel="0" collapsed="false">
      <c r="A25" s="18" t="s">
        <v>134</v>
      </c>
      <c r="B25" s="18" t="s">
        <v>42</v>
      </c>
      <c r="C25" s="18" t="s">
        <v>83</v>
      </c>
      <c r="D25" s="18" t="s">
        <v>93</v>
      </c>
      <c r="E25" s="19" t="s">
        <v>135</v>
      </c>
      <c r="F25" s="18" t="s">
        <v>2627</v>
      </c>
      <c r="G25" s="18" t="n">
        <v>0.33</v>
      </c>
      <c r="H25" s="18" t="s">
        <v>2625</v>
      </c>
      <c r="I25" s="19" t="s">
        <v>2628</v>
      </c>
      <c r="J25" s="18"/>
    </row>
    <row r="26" customFormat="false" ht="15" hidden="false" customHeight="false" outlineLevel="0" collapsed="false">
      <c r="A26" s="18" t="s">
        <v>136</v>
      </c>
      <c r="B26" s="18" t="s">
        <v>42</v>
      </c>
      <c r="C26" s="18" t="s">
        <v>83</v>
      </c>
      <c r="D26" s="18" t="s">
        <v>93</v>
      </c>
      <c r="E26" s="19" t="s">
        <v>137</v>
      </c>
      <c r="F26" s="18" t="s">
        <v>2627</v>
      </c>
      <c r="G26" s="18" t="n">
        <v>0</v>
      </c>
      <c r="H26" s="18"/>
      <c r="I26" s="19" t="s">
        <v>2628</v>
      </c>
      <c r="J26" s="18"/>
    </row>
    <row r="27" customFormat="false" ht="32.8" hidden="false" customHeight="false" outlineLevel="0" collapsed="false">
      <c r="A27" s="18" t="s">
        <v>138</v>
      </c>
      <c r="B27" s="18" t="s">
        <v>42</v>
      </c>
      <c r="C27" s="18" t="s">
        <v>83</v>
      </c>
      <c r="D27" s="18" t="s">
        <v>93</v>
      </c>
      <c r="E27" s="19" t="s">
        <v>139</v>
      </c>
      <c r="F27" s="18" t="s">
        <v>2627</v>
      </c>
      <c r="G27" s="18" t="n">
        <v>0.07</v>
      </c>
      <c r="H27" s="18"/>
      <c r="I27" s="19" t="s">
        <v>2628</v>
      </c>
      <c r="J27" s="18"/>
    </row>
    <row r="28" customFormat="false" ht="22.35" hidden="false" customHeight="false" outlineLevel="0" collapsed="false">
      <c r="A28" s="18" t="s">
        <v>140</v>
      </c>
      <c r="B28" s="18" t="s">
        <v>42</v>
      </c>
      <c r="C28" s="18" t="s">
        <v>83</v>
      </c>
      <c r="D28" s="18" t="s">
        <v>93</v>
      </c>
      <c r="E28" s="19" t="s">
        <v>141</v>
      </c>
      <c r="F28" s="18" t="s">
        <v>2627</v>
      </c>
      <c r="G28" s="18" t="n">
        <v>0.33</v>
      </c>
      <c r="H28" s="18" t="s">
        <v>2629</v>
      </c>
      <c r="I28" s="19" t="s">
        <v>2628</v>
      </c>
      <c r="J28" s="18"/>
    </row>
    <row r="29" customFormat="false" ht="15" hidden="false" customHeight="false" outlineLevel="0" collapsed="false">
      <c r="A29" s="18" t="s">
        <v>142</v>
      </c>
      <c r="B29" s="18" t="s">
        <v>42</v>
      </c>
      <c r="C29" s="18" t="s">
        <v>83</v>
      </c>
      <c r="D29" s="18" t="s">
        <v>93</v>
      </c>
      <c r="E29" s="19" t="s">
        <v>143</v>
      </c>
      <c r="F29" s="18" t="s">
        <v>2627</v>
      </c>
      <c r="G29" s="18" t="n">
        <v>0.57</v>
      </c>
      <c r="H29" s="18" t="s">
        <v>2625</v>
      </c>
      <c r="I29" s="19" t="s">
        <v>2628</v>
      </c>
      <c r="J29" s="18"/>
    </row>
    <row r="30" customFormat="false" ht="15" hidden="false" customHeight="false" outlineLevel="0" collapsed="false">
      <c r="A30" s="18" t="s">
        <v>144</v>
      </c>
      <c r="B30" s="18" t="s">
        <v>42</v>
      </c>
      <c r="C30" s="18" t="s">
        <v>83</v>
      </c>
      <c r="D30" s="18" t="s">
        <v>93</v>
      </c>
      <c r="E30" s="19" t="s">
        <v>145</v>
      </c>
      <c r="F30" s="18" t="s">
        <v>2627</v>
      </c>
      <c r="G30" s="18" t="n">
        <v>0.4</v>
      </c>
      <c r="H30" s="18" t="s">
        <v>2626</v>
      </c>
      <c r="I30" s="19" t="s">
        <v>2628</v>
      </c>
      <c r="J30" s="18"/>
    </row>
    <row r="31" customFormat="false" ht="22.35" hidden="false" customHeight="false" outlineLevel="0" collapsed="false">
      <c r="A31" s="18" t="s">
        <v>146</v>
      </c>
      <c r="B31" s="18" t="s">
        <v>42</v>
      </c>
      <c r="C31" s="18" t="s">
        <v>83</v>
      </c>
      <c r="D31" s="18" t="s">
        <v>93</v>
      </c>
      <c r="E31" s="19" t="s">
        <v>147</v>
      </c>
      <c r="F31" s="18" t="s">
        <v>2627</v>
      </c>
      <c r="G31" s="18" t="n">
        <v>0.12</v>
      </c>
      <c r="H31" s="18"/>
      <c r="I31" s="19" t="s">
        <v>2628</v>
      </c>
      <c r="J31" s="18"/>
    </row>
    <row r="32" customFormat="false" ht="22.35" hidden="false" customHeight="false" outlineLevel="0" collapsed="false">
      <c r="A32" s="18" t="s">
        <v>148</v>
      </c>
      <c r="B32" s="18" t="s">
        <v>42</v>
      </c>
      <c r="C32" s="18" t="s">
        <v>83</v>
      </c>
      <c r="D32" s="18" t="s">
        <v>93</v>
      </c>
      <c r="E32" s="19" t="s">
        <v>149</v>
      </c>
      <c r="F32" s="18" t="s">
        <v>2627</v>
      </c>
      <c r="G32" s="18" t="n">
        <v>0.15</v>
      </c>
      <c r="H32" s="18"/>
      <c r="I32" s="19" t="s">
        <v>2628</v>
      </c>
      <c r="J32" s="18"/>
    </row>
    <row r="33" customFormat="false" ht="15" hidden="false" customHeight="false" outlineLevel="0" collapsed="false">
      <c r="A33" s="18" t="s">
        <v>150</v>
      </c>
      <c r="B33" s="18" t="s">
        <v>42</v>
      </c>
      <c r="C33" s="18" t="s">
        <v>83</v>
      </c>
      <c r="D33" s="18" t="s">
        <v>93</v>
      </c>
      <c r="E33" s="19" t="s">
        <v>151</v>
      </c>
      <c r="F33" s="18" t="s">
        <v>2627</v>
      </c>
      <c r="G33" s="18" t="n">
        <v>0.09</v>
      </c>
      <c r="H33" s="18"/>
      <c r="I33" s="19" t="s">
        <v>2628</v>
      </c>
      <c r="J33" s="18"/>
    </row>
    <row r="34" customFormat="false" ht="22.35" hidden="false" customHeight="false" outlineLevel="0" collapsed="false">
      <c r="A34" s="18" t="s">
        <v>152</v>
      </c>
      <c r="B34" s="18" t="s">
        <v>42</v>
      </c>
      <c r="C34" s="18" t="s">
        <v>83</v>
      </c>
      <c r="D34" s="18" t="s">
        <v>93</v>
      </c>
      <c r="E34" s="19" t="s">
        <v>153</v>
      </c>
      <c r="F34" s="18" t="s">
        <v>2627</v>
      </c>
      <c r="G34" s="18" t="n">
        <v>0.08</v>
      </c>
      <c r="H34" s="18"/>
      <c r="I34" s="19" t="s">
        <v>2628</v>
      </c>
      <c r="J34" s="18"/>
    </row>
    <row r="35" customFormat="false" ht="32.8" hidden="false" customHeight="false" outlineLevel="0" collapsed="false">
      <c r="A35" s="18" t="s">
        <v>154</v>
      </c>
      <c r="B35" s="18" t="s">
        <v>42</v>
      </c>
      <c r="C35" s="18" t="s">
        <v>83</v>
      </c>
      <c r="D35" s="18" t="s">
        <v>93</v>
      </c>
      <c r="E35" s="19" t="s">
        <v>155</v>
      </c>
      <c r="F35" s="18" t="s">
        <v>2627</v>
      </c>
      <c r="G35" s="18" t="n">
        <v>0.26</v>
      </c>
      <c r="H35" s="18"/>
      <c r="I35" s="19" t="s">
        <v>2628</v>
      </c>
      <c r="J35" s="18"/>
    </row>
    <row r="36" customFormat="false" ht="15" hidden="false" customHeight="false" outlineLevel="0" collapsed="false">
      <c r="A36" s="18" t="s">
        <v>156</v>
      </c>
      <c r="B36" s="18" t="s">
        <v>42</v>
      </c>
      <c r="C36" s="18" t="s">
        <v>83</v>
      </c>
      <c r="D36" s="18" t="s">
        <v>158</v>
      </c>
      <c r="E36" s="19" t="s">
        <v>157</v>
      </c>
      <c r="F36" s="18" t="s">
        <v>2630</v>
      </c>
      <c r="G36" s="18" t="n">
        <v>0.75</v>
      </c>
      <c r="H36" s="18" t="s">
        <v>2626</v>
      </c>
      <c r="I36" s="19"/>
      <c r="J36" s="18"/>
    </row>
    <row r="37" customFormat="false" ht="15" hidden="false" customHeight="false" outlineLevel="0" collapsed="false">
      <c r="A37" s="18" t="s">
        <v>160</v>
      </c>
      <c r="B37" s="18" t="s">
        <v>42</v>
      </c>
      <c r="C37" s="18" t="s">
        <v>83</v>
      </c>
      <c r="D37" s="18" t="s">
        <v>158</v>
      </c>
      <c r="E37" s="19" t="s">
        <v>161</v>
      </c>
      <c r="F37" s="18" t="s">
        <v>2624</v>
      </c>
      <c r="G37" s="18" t="n">
        <v>1</v>
      </c>
      <c r="H37" s="18" t="s">
        <v>2625</v>
      </c>
      <c r="I37" s="19"/>
      <c r="J37" s="18"/>
    </row>
    <row r="38" customFormat="false" ht="32.8" hidden="false" customHeight="false" outlineLevel="0" collapsed="false">
      <c r="A38" s="18" t="s">
        <v>162</v>
      </c>
      <c r="B38" s="18" t="s">
        <v>42</v>
      </c>
      <c r="C38" s="18" t="s">
        <v>83</v>
      </c>
      <c r="D38" s="18" t="s">
        <v>164</v>
      </c>
      <c r="E38" s="19" t="s">
        <v>163</v>
      </c>
      <c r="F38" s="18" t="s">
        <v>2624</v>
      </c>
      <c r="G38" s="18" t="n">
        <v>1</v>
      </c>
      <c r="H38" s="18" t="s">
        <v>2625</v>
      </c>
      <c r="I38" s="19"/>
      <c r="J38" s="18"/>
    </row>
    <row r="39" customFormat="false" ht="22.35" hidden="false" customHeight="false" outlineLevel="0" collapsed="false">
      <c r="A39" s="18" t="s">
        <v>166</v>
      </c>
      <c r="B39" s="18" t="s">
        <v>42</v>
      </c>
      <c r="C39" s="18" t="s">
        <v>83</v>
      </c>
      <c r="D39" s="18" t="s">
        <v>168</v>
      </c>
      <c r="E39" s="19" t="s">
        <v>167</v>
      </c>
      <c r="F39" s="18" t="s">
        <v>2631</v>
      </c>
      <c r="G39" s="18" t="n">
        <v>0</v>
      </c>
      <c r="H39" s="18"/>
      <c r="I39" s="19" t="s">
        <v>2632</v>
      </c>
      <c r="J39" s="18"/>
    </row>
    <row r="40" customFormat="false" ht="85.05" hidden="false" customHeight="false" outlineLevel="0" collapsed="false">
      <c r="A40" s="18" t="s">
        <v>171</v>
      </c>
      <c r="B40" s="18" t="s">
        <v>42</v>
      </c>
      <c r="C40" s="18" t="s">
        <v>83</v>
      </c>
      <c r="D40" s="18" t="s">
        <v>168</v>
      </c>
      <c r="E40" s="19" t="s">
        <v>172</v>
      </c>
      <c r="F40" s="18" t="s">
        <v>2624</v>
      </c>
      <c r="G40" s="18" t="n">
        <v>1</v>
      </c>
      <c r="H40" s="18" t="s">
        <v>2625</v>
      </c>
      <c r="I40" s="19"/>
      <c r="J40" s="18"/>
    </row>
    <row r="41" customFormat="false" ht="32.8" hidden="false" customHeight="false" outlineLevel="0" collapsed="false">
      <c r="A41" s="18" t="s">
        <v>173</v>
      </c>
      <c r="B41" s="18" t="s">
        <v>42</v>
      </c>
      <c r="C41" s="18" t="s">
        <v>83</v>
      </c>
      <c r="D41" s="18" t="s">
        <v>175</v>
      </c>
      <c r="E41" s="19" t="s">
        <v>174</v>
      </c>
      <c r="F41" s="18" t="s">
        <v>2624</v>
      </c>
      <c r="G41" s="18" t="n">
        <v>1</v>
      </c>
      <c r="H41" s="18" t="s">
        <v>2626</v>
      </c>
      <c r="I41" s="19"/>
      <c r="J41" s="18"/>
    </row>
    <row r="42" customFormat="false" ht="15" hidden="false" customHeight="false" outlineLevel="0" collapsed="false">
      <c r="A42" s="18" t="s">
        <v>177</v>
      </c>
      <c r="B42" s="18" t="s">
        <v>42</v>
      </c>
      <c r="C42" s="18" t="s">
        <v>83</v>
      </c>
      <c r="D42" s="18" t="s">
        <v>164</v>
      </c>
      <c r="E42" s="19" t="s">
        <v>178</v>
      </c>
      <c r="F42" s="18" t="s">
        <v>2624</v>
      </c>
      <c r="G42" s="18" t="n">
        <v>1</v>
      </c>
      <c r="H42" s="18" t="s">
        <v>2626</v>
      </c>
      <c r="I42" s="19"/>
      <c r="J42" s="18"/>
    </row>
    <row r="43" customFormat="false" ht="15" hidden="false" customHeight="false" outlineLevel="0" collapsed="false">
      <c r="A43" s="18" t="s">
        <v>179</v>
      </c>
      <c r="B43" s="18" t="s">
        <v>42</v>
      </c>
      <c r="C43" s="18" t="s">
        <v>83</v>
      </c>
      <c r="D43" s="18" t="s">
        <v>84</v>
      </c>
      <c r="E43" s="19" t="s">
        <v>180</v>
      </c>
      <c r="F43" s="18" t="s">
        <v>2624</v>
      </c>
      <c r="G43" s="18" t="n">
        <v>1</v>
      </c>
      <c r="H43" s="18" t="s">
        <v>2625</v>
      </c>
      <c r="I43" s="19"/>
      <c r="J43" s="18"/>
    </row>
    <row r="44" customFormat="false" ht="32.8" hidden="false" customHeight="false" outlineLevel="0" collapsed="false">
      <c r="A44" s="18" t="s">
        <v>181</v>
      </c>
      <c r="B44" s="18" t="s">
        <v>42</v>
      </c>
      <c r="C44" s="18" t="s">
        <v>83</v>
      </c>
      <c r="D44" s="18" t="s">
        <v>84</v>
      </c>
      <c r="E44" s="19" t="s">
        <v>182</v>
      </c>
      <c r="F44" s="18" t="s">
        <v>2624</v>
      </c>
      <c r="G44" s="18" t="n">
        <v>1</v>
      </c>
      <c r="H44" s="18" t="s">
        <v>2626</v>
      </c>
      <c r="I44" s="19"/>
      <c r="J44" s="18"/>
    </row>
    <row r="45" customFormat="false" ht="15" hidden="false" customHeight="false" outlineLevel="0" collapsed="false">
      <c r="A45" s="18" t="s">
        <v>183</v>
      </c>
      <c r="B45" s="18" t="s">
        <v>42</v>
      </c>
      <c r="C45" s="18" t="s">
        <v>83</v>
      </c>
      <c r="D45" s="18" t="s">
        <v>84</v>
      </c>
      <c r="E45" s="19" t="s">
        <v>184</v>
      </c>
      <c r="F45" s="18" t="s">
        <v>2624</v>
      </c>
      <c r="G45" s="18" t="n">
        <v>1</v>
      </c>
      <c r="H45" s="18" t="s">
        <v>2625</v>
      </c>
      <c r="I45" s="19"/>
      <c r="J45" s="18"/>
    </row>
    <row r="46" customFormat="false" ht="22.35" hidden="false" customHeight="false" outlineLevel="0" collapsed="false">
      <c r="A46" s="18" t="s">
        <v>185</v>
      </c>
      <c r="B46" s="18" t="s">
        <v>42</v>
      </c>
      <c r="C46" s="18" t="s">
        <v>83</v>
      </c>
      <c r="D46" s="18" t="s">
        <v>84</v>
      </c>
      <c r="E46" s="19" t="s">
        <v>186</v>
      </c>
      <c r="F46" s="18" t="s">
        <v>2624</v>
      </c>
      <c r="G46" s="18" t="n">
        <v>1</v>
      </c>
      <c r="H46" s="18" t="s">
        <v>2633</v>
      </c>
      <c r="I46" s="19"/>
      <c r="J46" s="18"/>
    </row>
    <row r="47" customFormat="false" ht="22.35" hidden="false" customHeight="false" outlineLevel="0" collapsed="false">
      <c r="A47" s="18" t="s">
        <v>187</v>
      </c>
      <c r="B47" s="18" t="s">
        <v>42</v>
      </c>
      <c r="C47" s="18" t="s">
        <v>83</v>
      </c>
      <c r="D47" s="18" t="s">
        <v>84</v>
      </c>
      <c r="E47" s="19" t="s">
        <v>188</v>
      </c>
      <c r="F47" s="18" t="s">
        <v>2624</v>
      </c>
      <c r="G47" s="18" t="n">
        <v>1</v>
      </c>
      <c r="H47" s="18" t="s">
        <v>2633</v>
      </c>
      <c r="I47" s="19"/>
      <c r="J47" s="18"/>
    </row>
    <row r="48" customFormat="false" ht="15" hidden="false" customHeight="false" outlineLevel="0" collapsed="false">
      <c r="A48" s="18" t="s">
        <v>189</v>
      </c>
      <c r="B48" s="18" t="s">
        <v>42</v>
      </c>
      <c r="C48" s="18" t="s">
        <v>83</v>
      </c>
      <c r="D48" s="18" t="s">
        <v>84</v>
      </c>
      <c r="E48" s="19" t="s">
        <v>190</v>
      </c>
      <c r="F48" s="18" t="s">
        <v>2624</v>
      </c>
      <c r="G48" s="18" t="n">
        <v>1</v>
      </c>
      <c r="H48" s="18" t="s">
        <v>2625</v>
      </c>
      <c r="I48" s="19"/>
      <c r="J48" s="18"/>
    </row>
    <row r="49" customFormat="false" ht="22.35" hidden="false" customHeight="false" outlineLevel="0" collapsed="false">
      <c r="A49" s="18" t="s">
        <v>191</v>
      </c>
      <c r="B49" s="18" t="s">
        <v>42</v>
      </c>
      <c r="C49" s="18" t="s">
        <v>83</v>
      </c>
      <c r="D49" s="18" t="s">
        <v>84</v>
      </c>
      <c r="E49" s="19" t="s">
        <v>192</v>
      </c>
      <c r="F49" s="18" t="s">
        <v>2624</v>
      </c>
      <c r="G49" s="18" t="n">
        <v>1</v>
      </c>
      <c r="H49" s="18" t="s">
        <v>2633</v>
      </c>
      <c r="I49" s="19"/>
      <c r="J49" s="18"/>
    </row>
    <row r="50" customFormat="false" ht="15" hidden="false" customHeight="false" outlineLevel="0" collapsed="false">
      <c r="A50" s="18" t="s">
        <v>193</v>
      </c>
      <c r="B50" s="18" t="s">
        <v>42</v>
      </c>
      <c r="C50" s="18" t="s">
        <v>83</v>
      </c>
      <c r="D50" s="18" t="s">
        <v>84</v>
      </c>
      <c r="E50" s="19" t="s">
        <v>194</v>
      </c>
      <c r="F50" s="18" t="s">
        <v>2624</v>
      </c>
      <c r="G50" s="18" t="n">
        <v>1</v>
      </c>
      <c r="H50" s="18" t="s">
        <v>2633</v>
      </c>
      <c r="I50" s="19"/>
      <c r="J50" s="18"/>
    </row>
    <row r="51" customFormat="false" ht="15" hidden="false" customHeight="false" outlineLevel="0" collapsed="false">
      <c r="A51" s="18" t="s">
        <v>195</v>
      </c>
      <c r="B51" s="18" t="s">
        <v>42</v>
      </c>
      <c r="C51" s="18" t="s">
        <v>83</v>
      </c>
      <c r="D51" s="18" t="s">
        <v>84</v>
      </c>
      <c r="E51" s="19" t="s">
        <v>196</v>
      </c>
      <c r="F51" s="18" t="s">
        <v>2624</v>
      </c>
      <c r="G51" s="18" t="n">
        <v>1</v>
      </c>
      <c r="H51" s="18" t="s">
        <v>2625</v>
      </c>
      <c r="I51" s="19"/>
      <c r="J51" s="18"/>
    </row>
    <row r="52" customFormat="false" ht="15" hidden="false" customHeight="false" outlineLevel="0" collapsed="false">
      <c r="A52" s="18" t="s">
        <v>197</v>
      </c>
      <c r="B52" s="18" t="s">
        <v>42</v>
      </c>
      <c r="C52" s="18" t="s">
        <v>83</v>
      </c>
      <c r="D52" s="18" t="s">
        <v>84</v>
      </c>
      <c r="E52" s="19" t="s">
        <v>198</v>
      </c>
      <c r="F52" s="18" t="s">
        <v>2624</v>
      </c>
      <c r="G52" s="18" t="n">
        <v>1</v>
      </c>
      <c r="H52" s="18" t="s">
        <v>2633</v>
      </c>
      <c r="I52" s="19"/>
      <c r="J52" s="18"/>
    </row>
    <row r="53" customFormat="false" ht="22.35" hidden="false" customHeight="false" outlineLevel="0" collapsed="false">
      <c r="A53" s="18" t="s">
        <v>199</v>
      </c>
      <c r="B53" s="18" t="s">
        <v>42</v>
      </c>
      <c r="C53" s="18" t="s">
        <v>83</v>
      </c>
      <c r="D53" s="18" t="s">
        <v>84</v>
      </c>
      <c r="E53" s="19" t="s">
        <v>200</v>
      </c>
      <c r="F53" s="18" t="s">
        <v>2624</v>
      </c>
      <c r="G53" s="18" t="n">
        <v>1</v>
      </c>
      <c r="H53" s="18" t="s">
        <v>2633</v>
      </c>
      <c r="I53" s="19"/>
      <c r="J53" s="18"/>
    </row>
    <row r="54" customFormat="false" ht="15" hidden="false" customHeight="false" outlineLevel="0" collapsed="false">
      <c r="A54" s="18" t="s">
        <v>201</v>
      </c>
      <c r="B54" s="18" t="s">
        <v>42</v>
      </c>
      <c r="C54" s="18" t="s">
        <v>83</v>
      </c>
      <c r="D54" s="18" t="s">
        <v>84</v>
      </c>
      <c r="E54" s="19" t="s">
        <v>202</v>
      </c>
      <c r="F54" s="18" t="s">
        <v>2624</v>
      </c>
      <c r="G54" s="18" t="n">
        <v>1</v>
      </c>
      <c r="H54" s="18" t="s">
        <v>2625</v>
      </c>
      <c r="I54" s="19"/>
      <c r="J54" s="18"/>
    </row>
    <row r="55" customFormat="false" ht="15" hidden="false" customHeight="false" outlineLevel="0" collapsed="false">
      <c r="A55" s="18" t="s">
        <v>203</v>
      </c>
      <c r="B55" s="18" t="s">
        <v>42</v>
      </c>
      <c r="C55" s="18" t="s">
        <v>83</v>
      </c>
      <c r="D55" s="18" t="s">
        <v>84</v>
      </c>
      <c r="E55" s="19" t="s">
        <v>204</v>
      </c>
      <c r="F55" s="18" t="s">
        <v>2624</v>
      </c>
      <c r="G55" s="18" t="n">
        <v>1</v>
      </c>
      <c r="H55" s="18" t="s">
        <v>2633</v>
      </c>
      <c r="I55" s="19"/>
      <c r="J55" s="18"/>
    </row>
    <row r="56" customFormat="false" ht="15" hidden="false" customHeight="false" outlineLevel="0" collapsed="false">
      <c r="A56" s="18" t="s">
        <v>205</v>
      </c>
      <c r="B56" s="18" t="s">
        <v>42</v>
      </c>
      <c r="C56" s="18" t="s">
        <v>83</v>
      </c>
      <c r="D56" s="18" t="s">
        <v>84</v>
      </c>
      <c r="E56" s="19" t="s">
        <v>206</v>
      </c>
      <c r="F56" s="18" t="s">
        <v>2624</v>
      </c>
      <c r="G56" s="18" t="n">
        <v>1</v>
      </c>
      <c r="H56" s="18" t="s">
        <v>2633</v>
      </c>
      <c r="I56" s="19"/>
      <c r="J56" s="18"/>
    </row>
    <row r="57" customFormat="false" ht="15" hidden="false" customHeight="false" outlineLevel="0" collapsed="false">
      <c r="A57" s="18" t="s">
        <v>207</v>
      </c>
      <c r="B57" s="18" t="s">
        <v>42</v>
      </c>
      <c r="C57" s="18" t="s">
        <v>83</v>
      </c>
      <c r="D57" s="18" t="s">
        <v>84</v>
      </c>
      <c r="E57" s="19" t="s">
        <v>208</v>
      </c>
      <c r="F57" s="18" t="s">
        <v>2624</v>
      </c>
      <c r="G57" s="18" t="n">
        <v>1</v>
      </c>
      <c r="H57" s="18" t="s">
        <v>2625</v>
      </c>
      <c r="I57" s="19"/>
      <c r="J57" s="18"/>
    </row>
    <row r="58" customFormat="false" ht="15" hidden="false" customHeight="false" outlineLevel="0" collapsed="false">
      <c r="A58" s="18" t="s">
        <v>209</v>
      </c>
      <c r="B58" s="18" t="s">
        <v>42</v>
      </c>
      <c r="C58" s="18" t="s">
        <v>83</v>
      </c>
      <c r="D58" s="18" t="s">
        <v>84</v>
      </c>
      <c r="E58" s="19" t="s">
        <v>210</v>
      </c>
      <c r="F58" s="18" t="s">
        <v>2624</v>
      </c>
      <c r="G58" s="18" t="n">
        <v>1</v>
      </c>
      <c r="H58" s="18" t="s">
        <v>2633</v>
      </c>
      <c r="I58" s="19"/>
      <c r="J58" s="18"/>
    </row>
    <row r="59" customFormat="false" ht="15" hidden="false" customHeight="false" outlineLevel="0" collapsed="false">
      <c r="A59" s="18" t="s">
        <v>211</v>
      </c>
      <c r="B59" s="18" t="s">
        <v>42</v>
      </c>
      <c r="C59" s="18" t="s">
        <v>83</v>
      </c>
      <c r="D59" s="18" t="s">
        <v>84</v>
      </c>
      <c r="E59" s="19" t="s">
        <v>212</v>
      </c>
      <c r="F59" s="18" t="s">
        <v>2624</v>
      </c>
      <c r="G59" s="18" t="n">
        <v>1</v>
      </c>
      <c r="H59" s="18" t="s">
        <v>2633</v>
      </c>
      <c r="I59" s="19"/>
      <c r="J59" s="18"/>
    </row>
    <row r="60" customFormat="false" ht="15" hidden="false" customHeight="false" outlineLevel="0" collapsed="false">
      <c r="A60" s="18" t="s">
        <v>213</v>
      </c>
      <c r="B60" s="18" t="s">
        <v>42</v>
      </c>
      <c r="C60" s="18" t="s">
        <v>83</v>
      </c>
      <c r="D60" s="18" t="s">
        <v>84</v>
      </c>
      <c r="E60" s="19" t="s">
        <v>214</v>
      </c>
      <c r="F60" s="18" t="s">
        <v>2624</v>
      </c>
      <c r="G60" s="18" t="n">
        <v>1</v>
      </c>
      <c r="H60" s="18" t="s">
        <v>2625</v>
      </c>
      <c r="I60" s="19"/>
      <c r="J60" s="18"/>
    </row>
    <row r="61" customFormat="false" ht="32.8" hidden="false" customHeight="false" outlineLevel="0" collapsed="false">
      <c r="A61" s="18" t="s">
        <v>215</v>
      </c>
      <c r="B61" s="18" t="s">
        <v>42</v>
      </c>
      <c r="C61" s="18" t="s">
        <v>83</v>
      </c>
      <c r="D61" s="18" t="s">
        <v>84</v>
      </c>
      <c r="E61" s="19" t="s">
        <v>216</v>
      </c>
      <c r="F61" s="18" t="s">
        <v>2630</v>
      </c>
      <c r="G61" s="18" t="n">
        <v>0.55</v>
      </c>
      <c r="H61" s="18" t="s">
        <v>2633</v>
      </c>
      <c r="I61" s="19"/>
      <c r="J61" s="18"/>
    </row>
    <row r="62" customFormat="false" ht="22.35" hidden="false" customHeight="false" outlineLevel="0" collapsed="false">
      <c r="A62" s="18" t="s">
        <v>217</v>
      </c>
      <c r="B62" s="18" t="s">
        <v>42</v>
      </c>
      <c r="C62" s="18" t="s">
        <v>83</v>
      </c>
      <c r="D62" s="18" t="s">
        <v>84</v>
      </c>
      <c r="E62" s="19" t="s">
        <v>218</v>
      </c>
      <c r="F62" s="18" t="s">
        <v>2627</v>
      </c>
      <c r="G62" s="18" t="n">
        <v>0.05</v>
      </c>
      <c r="H62" s="18"/>
      <c r="I62" s="19" t="s">
        <v>2634</v>
      </c>
      <c r="J62" s="18"/>
    </row>
    <row r="63" customFormat="false" ht="15" hidden="false" customHeight="false" outlineLevel="0" collapsed="false">
      <c r="A63" s="18" t="s">
        <v>219</v>
      </c>
      <c r="B63" s="18" t="s">
        <v>42</v>
      </c>
      <c r="C63" s="18" t="s">
        <v>83</v>
      </c>
      <c r="D63" s="18" t="s">
        <v>84</v>
      </c>
      <c r="E63" s="19" t="s">
        <v>220</v>
      </c>
      <c r="F63" s="18" t="s">
        <v>2624</v>
      </c>
      <c r="G63" s="18" t="n">
        <v>1</v>
      </c>
      <c r="H63" s="18" t="s">
        <v>2626</v>
      </c>
      <c r="I63" s="19"/>
      <c r="J63" s="18"/>
    </row>
    <row r="64" customFormat="false" ht="22.35" hidden="false" customHeight="false" outlineLevel="0" collapsed="false">
      <c r="A64" s="18" t="s">
        <v>221</v>
      </c>
      <c r="B64" s="18" t="s">
        <v>42</v>
      </c>
      <c r="C64" s="18" t="s">
        <v>83</v>
      </c>
      <c r="D64" s="18" t="s">
        <v>84</v>
      </c>
      <c r="E64" s="19" t="s">
        <v>222</v>
      </c>
      <c r="F64" s="18" t="s">
        <v>2624</v>
      </c>
      <c r="G64" s="18" t="n">
        <v>1</v>
      </c>
      <c r="H64" s="18" t="s">
        <v>2625</v>
      </c>
      <c r="I64" s="19"/>
      <c r="J64" s="18"/>
    </row>
    <row r="65" customFormat="false" ht="22.35" hidden="false" customHeight="false" outlineLevel="0" collapsed="false">
      <c r="A65" s="18" t="s">
        <v>223</v>
      </c>
      <c r="B65" s="18" t="s">
        <v>42</v>
      </c>
      <c r="C65" s="18" t="s">
        <v>83</v>
      </c>
      <c r="D65" s="18" t="s">
        <v>84</v>
      </c>
      <c r="E65" s="19" t="s">
        <v>224</v>
      </c>
      <c r="F65" s="18" t="s">
        <v>2624</v>
      </c>
      <c r="G65" s="18" t="n">
        <v>1</v>
      </c>
      <c r="H65" s="18" t="s">
        <v>2626</v>
      </c>
      <c r="I65" s="19"/>
      <c r="J65" s="18"/>
    </row>
    <row r="66" customFormat="false" ht="22.35" hidden="false" customHeight="false" outlineLevel="0" collapsed="false">
      <c r="A66" s="18" t="s">
        <v>225</v>
      </c>
      <c r="B66" s="18" t="s">
        <v>42</v>
      </c>
      <c r="C66" s="18" t="s">
        <v>83</v>
      </c>
      <c r="D66" s="18" t="s">
        <v>84</v>
      </c>
      <c r="E66" s="19" t="s">
        <v>226</v>
      </c>
      <c r="F66" s="18" t="s">
        <v>2624</v>
      </c>
      <c r="G66" s="18" t="n">
        <v>1</v>
      </c>
      <c r="H66" s="18" t="s">
        <v>2626</v>
      </c>
      <c r="I66" s="19"/>
      <c r="J66" s="18"/>
    </row>
    <row r="67" customFormat="false" ht="22.35" hidden="false" customHeight="false" outlineLevel="0" collapsed="false">
      <c r="A67" s="18" t="s">
        <v>227</v>
      </c>
      <c r="B67" s="18" t="s">
        <v>42</v>
      </c>
      <c r="C67" s="18" t="s">
        <v>83</v>
      </c>
      <c r="D67" s="18" t="s">
        <v>84</v>
      </c>
      <c r="E67" s="19" t="s">
        <v>228</v>
      </c>
      <c r="F67" s="18" t="s">
        <v>2624</v>
      </c>
      <c r="G67" s="18" t="n">
        <v>1</v>
      </c>
      <c r="H67" s="18" t="s">
        <v>2625</v>
      </c>
      <c r="I67" s="19"/>
      <c r="J67" s="18"/>
    </row>
    <row r="68" customFormat="false" ht="15" hidden="false" customHeight="false" outlineLevel="0" collapsed="false">
      <c r="A68" s="18" t="s">
        <v>229</v>
      </c>
      <c r="B68" s="18" t="s">
        <v>42</v>
      </c>
      <c r="C68" s="18" t="s">
        <v>126</v>
      </c>
      <c r="D68" s="18" t="s">
        <v>158</v>
      </c>
      <c r="E68" s="19" t="s">
        <v>230</v>
      </c>
      <c r="F68" s="18" t="s">
        <v>2624</v>
      </c>
      <c r="G68" s="18" t="n">
        <v>1</v>
      </c>
      <c r="H68" s="18" t="s">
        <v>2626</v>
      </c>
      <c r="I68" s="19"/>
      <c r="J68" s="18"/>
    </row>
    <row r="69" customFormat="false" ht="15" hidden="false" customHeight="false" outlineLevel="0" collapsed="false">
      <c r="A69" s="18" t="s">
        <v>231</v>
      </c>
      <c r="B69" s="18" t="s">
        <v>42</v>
      </c>
      <c r="C69" s="18" t="s">
        <v>126</v>
      </c>
      <c r="D69" s="18" t="s">
        <v>164</v>
      </c>
      <c r="E69" s="19" t="s">
        <v>232</v>
      </c>
      <c r="F69" s="18" t="s">
        <v>2624</v>
      </c>
      <c r="G69" s="18" t="n">
        <v>1</v>
      </c>
      <c r="H69" s="18" t="s">
        <v>2626</v>
      </c>
      <c r="I69" s="19"/>
      <c r="J69" s="18"/>
    </row>
    <row r="70" customFormat="false" ht="22.35" hidden="false" customHeight="false" outlineLevel="0" collapsed="false">
      <c r="A70" s="18" t="s">
        <v>233</v>
      </c>
      <c r="B70" s="18" t="s">
        <v>42</v>
      </c>
      <c r="C70" s="18" t="s">
        <v>126</v>
      </c>
      <c r="D70" s="18" t="s">
        <v>164</v>
      </c>
      <c r="E70" s="19" t="s">
        <v>234</v>
      </c>
      <c r="F70" s="18" t="s">
        <v>2624</v>
      </c>
      <c r="G70" s="18" t="n">
        <v>1</v>
      </c>
      <c r="H70" s="18" t="s">
        <v>2626</v>
      </c>
      <c r="I70" s="19"/>
      <c r="J70" s="18"/>
    </row>
    <row r="71" customFormat="false" ht="22.35" hidden="false" customHeight="false" outlineLevel="0" collapsed="false">
      <c r="A71" s="18" t="s">
        <v>235</v>
      </c>
      <c r="B71" s="18" t="s">
        <v>42</v>
      </c>
      <c r="C71" s="18" t="s">
        <v>126</v>
      </c>
      <c r="D71" s="18" t="s">
        <v>164</v>
      </c>
      <c r="E71" s="19" t="s">
        <v>236</v>
      </c>
      <c r="F71" s="18" t="s">
        <v>2627</v>
      </c>
      <c r="G71" s="18" t="n">
        <v>0</v>
      </c>
      <c r="H71" s="18"/>
      <c r="I71" s="19" t="s">
        <v>2635</v>
      </c>
      <c r="J71" s="18"/>
    </row>
    <row r="72" customFormat="false" ht="22.35" hidden="false" customHeight="false" outlineLevel="0" collapsed="false">
      <c r="A72" s="18" t="s">
        <v>237</v>
      </c>
      <c r="B72" s="18" t="s">
        <v>42</v>
      </c>
      <c r="C72" s="18" t="s">
        <v>126</v>
      </c>
      <c r="D72" s="18" t="s">
        <v>164</v>
      </c>
      <c r="E72" s="19" t="s">
        <v>238</v>
      </c>
      <c r="F72" s="18" t="s">
        <v>2627</v>
      </c>
      <c r="G72" s="18" t="n">
        <v>0.37</v>
      </c>
      <c r="H72" s="18" t="s">
        <v>2625</v>
      </c>
      <c r="I72" s="19" t="s">
        <v>2634</v>
      </c>
      <c r="J72" s="18"/>
    </row>
    <row r="73" customFormat="false" ht="15" hidden="false" customHeight="false" outlineLevel="0" collapsed="false">
      <c r="A73" s="18" t="s">
        <v>239</v>
      </c>
      <c r="B73" s="18" t="s">
        <v>42</v>
      </c>
      <c r="C73" s="18" t="s">
        <v>126</v>
      </c>
      <c r="D73" s="18" t="s">
        <v>158</v>
      </c>
      <c r="E73" s="19" t="s">
        <v>240</v>
      </c>
      <c r="F73" s="18" t="s">
        <v>2624</v>
      </c>
      <c r="G73" s="18" t="n">
        <v>1</v>
      </c>
      <c r="H73" s="18" t="s">
        <v>2625</v>
      </c>
      <c r="I73" s="19"/>
      <c r="J73" s="18"/>
    </row>
    <row r="74" customFormat="false" ht="43.25" hidden="false" customHeight="false" outlineLevel="0" collapsed="false">
      <c r="A74" s="18" t="s">
        <v>241</v>
      </c>
      <c r="B74" s="18" t="s">
        <v>42</v>
      </c>
      <c r="C74" s="18" t="s">
        <v>126</v>
      </c>
      <c r="D74" s="18" t="s">
        <v>164</v>
      </c>
      <c r="E74" s="19" t="s">
        <v>242</v>
      </c>
      <c r="F74" s="18" t="s">
        <v>2624</v>
      </c>
      <c r="G74" s="18" t="n">
        <v>1</v>
      </c>
      <c r="H74" s="18" t="s">
        <v>2626</v>
      </c>
      <c r="I74" s="19"/>
      <c r="J74" s="18"/>
    </row>
    <row r="75" customFormat="false" ht="15" hidden="false" customHeight="false" outlineLevel="0" collapsed="false">
      <c r="A75" s="18" t="s">
        <v>243</v>
      </c>
      <c r="B75" s="18" t="s">
        <v>42</v>
      </c>
      <c r="C75" s="18" t="s">
        <v>126</v>
      </c>
      <c r="D75" s="18" t="s">
        <v>175</v>
      </c>
      <c r="E75" s="19" t="s">
        <v>244</v>
      </c>
      <c r="F75" s="18" t="s">
        <v>2624</v>
      </c>
      <c r="G75" s="18" t="n">
        <v>1</v>
      </c>
      <c r="H75" s="18" t="s">
        <v>2625</v>
      </c>
      <c r="I75" s="19"/>
      <c r="J75" s="18"/>
    </row>
    <row r="76" customFormat="false" ht="15" hidden="false" customHeight="false" outlineLevel="0" collapsed="false">
      <c r="A76" s="18" t="s">
        <v>245</v>
      </c>
      <c r="B76" s="18" t="s">
        <v>42</v>
      </c>
      <c r="C76" s="18" t="s">
        <v>126</v>
      </c>
      <c r="D76" s="18" t="s">
        <v>175</v>
      </c>
      <c r="E76" s="19" t="s">
        <v>246</v>
      </c>
      <c r="F76" s="18" t="s">
        <v>2624</v>
      </c>
      <c r="G76" s="18" t="n">
        <v>1</v>
      </c>
      <c r="H76" s="18" t="s">
        <v>2625</v>
      </c>
      <c r="I76" s="19"/>
      <c r="J76" s="18"/>
    </row>
    <row r="77" customFormat="false" ht="22.35" hidden="false" customHeight="false" outlineLevel="0" collapsed="false">
      <c r="A77" s="18" t="s">
        <v>247</v>
      </c>
      <c r="B77" s="18" t="s">
        <v>42</v>
      </c>
      <c r="C77" s="18" t="s">
        <v>126</v>
      </c>
      <c r="D77" s="18" t="s">
        <v>175</v>
      </c>
      <c r="E77" s="19" t="s">
        <v>248</v>
      </c>
      <c r="F77" s="18" t="s">
        <v>2624</v>
      </c>
      <c r="G77" s="18" t="n">
        <v>1</v>
      </c>
      <c r="H77" s="18" t="s">
        <v>2625</v>
      </c>
      <c r="I77" s="19"/>
      <c r="J77" s="18"/>
    </row>
    <row r="78" customFormat="false" ht="15" hidden="false" customHeight="false" outlineLevel="0" collapsed="false">
      <c r="A78" s="18" t="s">
        <v>249</v>
      </c>
      <c r="B78" s="18" t="s">
        <v>42</v>
      </c>
      <c r="C78" s="18" t="s">
        <v>126</v>
      </c>
      <c r="D78" s="18" t="s">
        <v>175</v>
      </c>
      <c r="E78" s="19" t="s">
        <v>250</v>
      </c>
      <c r="F78" s="18" t="s">
        <v>2624</v>
      </c>
      <c r="G78" s="18" t="n">
        <v>1</v>
      </c>
      <c r="H78" s="18" t="s">
        <v>2625</v>
      </c>
      <c r="I78" s="19"/>
      <c r="J78" s="18"/>
    </row>
    <row r="79" customFormat="false" ht="22.35" hidden="false" customHeight="false" outlineLevel="0" collapsed="false">
      <c r="A79" s="18" t="s">
        <v>251</v>
      </c>
      <c r="B79" s="18" t="s">
        <v>42</v>
      </c>
      <c r="C79" s="18" t="s">
        <v>126</v>
      </c>
      <c r="D79" s="18" t="s">
        <v>175</v>
      </c>
      <c r="E79" s="19" t="s">
        <v>252</v>
      </c>
      <c r="F79" s="18" t="s">
        <v>2624</v>
      </c>
      <c r="G79" s="18" t="n">
        <v>1</v>
      </c>
      <c r="H79" s="18" t="s">
        <v>2625</v>
      </c>
      <c r="I79" s="19"/>
      <c r="J79" s="18"/>
    </row>
    <row r="80" customFormat="false" ht="22.35" hidden="false" customHeight="false" outlineLevel="0" collapsed="false">
      <c r="A80" s="18" t="s">
        <v>253</v>
      </c>
      <c r="B80" s="18" t="s">
        <v>42</v>
      </c>
      <c r="C80" s="18" t="s">
        <v>126</v>
      </c>
      <c r="D80" s="18" t="s">
        <v>84</v>
      </c>
      <c r="E80" s="19" t="s">
        <v>254</v>
      </c>
      <c r="F80" s="18" t="s">
        <v>2624</v>
      </c>
      <c r="G80" s="18" t="n">
        <v>1</v>
      </c>
      <c r="H80" s="18" t="s">
        <v>2625</v>
      </c>
      <c r="I80" s="19"/>
      <c r="J80" s="18"/>
    </row>
    <row r="81" customFormat="false" ht="15" hidden="false" customHeight="false" outlineLevel="0" collapsed="false">
      <c r="A81" s="18" t="s">
        <v>255</v>
      </c>
      <c r="B81" s="18" t="s">
        <v>42</v>
      </c>
      <c r="C81" s="18" t="s">
        <v>126</v>
      </c>
      <c r="D81" s="18" t="s">
        <v>84</v>
      </c>
      <c r="E81" s="19" t="s">
        <v>256</v>
      </c>
      <c r="F81" s="18" t="s">
        <v>2624</v>
      </c>
      <c r="G81" s="18" t="n">
        <v>1</v>
      </c>
      <c r="H81" s="18" t="s">
        <v>2625</v>
      </c>
      <c r="I81" s="19"/>
      <c r="J81" s="18"/>
    </row>
    <row r="82" customFormat="false" ht="15" hidden="false" customHeight="false" outlineLevel="0" collapsed="false">
      <c r="A82" s="18" t="s">
        <v>257</v>
      </c>
      <c r="B82" s="18" t="s">
        <v>45</v>
      </c>
      <c r="C82" s="18" t="s">
        <v>259</v>
      </c>
      <c r="D82" s="18" t="s">
        <v>158</v>
      </c>
      <c r="E82" s="19" t="s">
        <v>258</v>
      </c>
      <c r="F82" s="18" t="s">
        <v>2636</v>
      </c>
      <c r="G82" s="18" t="n">
        <v>0.17</v>
      </c>
      <c r="H82" s="18"/>
      <c r="I82" s="19" t="s">
        <v>2637</v>
      </c>
      <c r="J82" s="18"/>
    </row>
    <row r="83" customFormat="false" ht="15" hidden="false" customHeight="false" outlineLevel="0" collapsed="false">
      <c r="A83" s="18" t="s">
        <v>260</v>
      </c>
      <c r="B83" s="18" t="s">
        <v>45</v>
      </c>
      <c r="C83" s="18" t="s">
        <v>259</v>
      </c>
      <c r="D83" s="18" t="s">
        <v>158</v>
      </c>
      <c r="E83" s="19" t="s">
        <v>261</v>
      </c>
      <c r="F83" s="18" t="s">
        <v>2636</v>
      </c>
      <c r="G83" s="18" t="n">
        <v>0</v>
      </c>
      <c r="H83" s="18"/>
      <c r="I83" s="19" t="s">
        <v>2637</v>
      </c>
      <c r="J83" s="18"/>
    </row>
    <row r="84" customFormat="false" ht="15" hidden="false" customHeight="false" outlineLevel="0" collapsed="false">
      <c r="A84" s="18" t="s">
        <v>262</v>
      </c>
      <c r="B84" s="18" t="s">
        <v>45</v>
      </c>
      <c r="C84" s="18" t="s">
        <v>259</v>
      </c>
      <c r="D84" s="18" t="s">
        <v>93</v>
      </c>
      <c r="E84" s="19" t="s">
        <v>92</v>
      </c>
      <c r="F84" s="18" t="s">
        <v>2624</v>
      </c>
      <c r="G84" s="18" t="n">
        <v>1</v>
      </c>
      <c r="H84" s="18" t="s">
        <v>2625</v>
      </c>
      <c r="I84" s="19"/>
      <c r="J84" s="18"/>
    </row>
    <row r="85" customFormat="false" ht="15" hidden="false" customHeight="false" outlineLevel="0" collapsed="false">
      <c r="A85" s="18" t="s">
        <v>263</v>
      </c>
      <c r="B85" s="18" t="s">
        <v>45</v>
      </c>
      <c r="C85" s="18" t="s">
        <v>259</v>
      </c>
      <c r="D85" s="18" t="s">
        <v>93</v>
      </c>
      <c r="E85" s="19" t="s">
        <v>99</v>
      </c>
      <c r="F85" s="18" t="s">
        <v>2627</v>
      </c>
      <c r="G85" s="18" t="n">
        <v>0</v>
      </c>
      <c r="H85" s="18"/>
      <c r="I85" s="19" t="s">
        <v>2628</v>
      </c>
      <c r="J85" s="18"/>
    </row>
    <row r="86" customFormat="false" ht="15" hidden="false" customHeight="false" outlineLevel="0" collapsed="false">
      <c r="A86" s="18" t="s">
        <v>264</v>
      </c>
      <c r="B86" s="18" t="s">
        <v>45</v>
      </c>
      <c r="C86" s="18" t="s">
        <v>259</v>
      </c>
      <c r="D86" s="18" t="s">
        <v>93</v>
      </c>
      <c r="E86" s="19" t="s">
        <v>101</v>
      </c>
      <c r="F86" s="18" t="s">
        <v>2627</v>
      </c>
      <c r="G86" s="18" t="n">
        <v>0</v>
      </c>
      <c r="H86" s="18"/>
      <c r="I86" s="19" t="s">
        <v>2628</v>
      </c>
      <c r="J86" s="18"/>
    </row>
    <row r="87" customFormat="false" ht="15" hidden="false" customHeight="false" outlineLevel="0" collapsed="false">
      <c r="A87" s="18" t="s">
        <v>265</v>
      </c>
      <c r="B87" s="18" t="s">
        <v>45</v>
      </c>
      <c r="C87" s="18" t="s">
        <v>259</v>
      </c>
      <c r="D87" s="18" t="s">
        <v>93</v>
      </c>
      <c r="E87" s="19" t="s">
        <v>266</v>
      </c>
      <c r="F87" s="18" t="s">
        <v>2627</v>
      </c>
      <c r="G87" s="18" t="n">
        <v>0</v>
      </c>
      <c r="H87" s="18"/>
      <c r="I87" s="19" t="s">
        <v>2628</v>
      </c>
      <c r="J87" s="18"/>
    </row>
    <row r="88" customFormat="false" ht="15" hidden="false" customHeight="false" outlineLevel="0" collapsed="false">
      <c r="A88" s="18" t="s">
        <v>267</v>
      </c>
      <c r="B88" s="18" t="s">
        <v>45</v>
      </c>
      <c r="C88" s="18" t="s">
        <v>259</v>
      </c>
      <c r="D88" s="18" t="s">
        <v>93</v>
      </c>
      <c r="E88" s="19" t="s">
        <v>268</v>
      </c>
      <c r="F88" s="18" t="s">
        <v>2627</v>
      </c>
      <c r="G88" s="18" t="n">
        <v>0</v>
      </c>
      <c r="H88" s="18"/>
      <c r="I88" s="19" t="s">
        <v>2628</v>
      </c>
      <c r="J88" s="18"/>
    </row>
    <row r="89" customFormat="false" ht="15" hidden="false" customHeight="false" outlineLevel="0" collapsed="false">
      <c r="A89" s="18" t="s">
        <v>269</v>
      </c>
      <c r="B89" s="18" t="s">
        <v>45</v>
      </c>
      <c r="C89" s="18" t="s">
        <v>259</v>
      </c>
      <c r="D89" s="18" t="s">
        <v>93</v>
      </c>
      <c r="E89" s="19" t="s">
        <v>270</v>
      </c>
      <c r="F89" s="18" t="s">
        <v>2627</v>
      </c>
      <c r="G89" s="18" t="n">
        <v>0.11</v>
      </c>
      <c r="H89" s="18"/>
      <c r="I89" s="19" t="s">
        <v>2628</v>
      </c>
      <c r="J89" s="18"/>
    </row>
    <row r="90" customFormat="false" ht="22.35" hidden="false" customHeight="false" outlineLevel="0" collapsed="false">
      <c r="A90" s="18" t="s">
        <v>271</v>
      </c>
      <c r="B90" s="18" t="s">
        <v>45</v>
      </c>
      <c r="C90" s="18" t="s">
        <v>259</v>
      </c>
      <c r="D90" s="18" t="s">
        <v>93</v>
      </c>
      <c r="E90" s="19" t="s">
        <v>272</v>
      </c>
      <c r="F90" s="18" t="s">
        <v>2627</v>
      </c>
      <c r="G90" s="18" t="n">
        <v>0.31</v>
      </c>
      <c r="H90" s="18" t="s">
        <v>2625</v>
      </c>
      <c r="I90" s="19" t="s">
        <v>2628</v>
      </c>
      <c r="J90" s="18"/>
    </row>
    <row r="91" customFormat="false" ht="53.7" hidden="false" customHeight="false" outlineLevel="0" collapsed="false">
      <c r="A91" s="18" t="s">
        <v>273</v>
      </c>
      <c r="B91" s="18" t="s">
        <v>45</v>
      </c>
      <c r="C91" s="18" t="s">
        <v>259</v>
      </c>
      <c r="D91" s="18" t="s">
        <v>93</v>
      </c>
      <c r="E91" s="19" t="s">
        <v>274</v>
      </c>
      <c r="F91" s="18" t="s">
        <v>2627</v>
      </c>
      <c r="G91" s="18" t="n">
        <v>0.08</v>
      </c>
      <c r="H91" s="18"/>
      <c r="I91" s="19" t="s">
        <v>2628</v>
      </c>
      <c r="J91" s="18"/>
    </row>
    <row r="92" customFormat="false" ht="15" hidden="false" customHeight="false" outlineLevel="0" collapsed="false">
      <c r="A92" s="18" t="s">
        <v>275</v>
      </c>
      <c r="B92" s="18" t="s">
        <v>45</v>
      </c>
      <c r="C92" s="18" t="s">
        <v>259</v>
      </c>
      <c r="D92" s="18" t="s">
        <v>93</v>
      </c>
      <c r="E92" s="19" t="s">
        <v>113</v>
      </c>
      <c r="F92" s="18" t="s">
        <v>2624</v>
      </c>
      <c r="G92" s="18" t="n">
        <v>1</v>
      </c>
      <c r="H92" s="18" t="s">
        <v>2625</v>
      </c>
      <c r="I92" s="19"/>
      <c r="J92" s="18"/>
    </row>
    <row r="93" customFormat="false" ht="15" hidden="false" customHeight="false" outlineLevel="0" collapsed="false">
      <c r="A93" s="18" t="s">
        <v>276</v>
      </c>
      <c r="B93" s="18" t="s">
        <v>45</v>
      </c>
      <c r="C93" s="18" t="s">
        <v>259</v>
      </c>
      <c r="D93" s="18" t="s">
        <v>93</v>
      </c>
      <c r="E93" s="19" t="s">
        <v>115</v>
      </c>
      <c r="F93" s="18" t="s">
        <v>2627</v>
      </c>
      <c r="G93" s="18" t="n">
        <v>0</v>
      </c>
      <c r="H93" s="18"/>
      <c r="I93" s="19" t="s">
        <v>2628</v>
      </c>
      <c r="J93" s="18"/>
    </row>
    <row r="94" customFormat="false" ht="15" hidden="false" customHeight="false" outlineLevel="0" collapsed="false">
      <c r="A94" s="18" t="s">
        <v>277</v>
      </c>
      <c r="B94" s="18" t="s">
        <v>45</v>
      </c>
      <c r="C94" s="18" t="s">
        <v>259</v>
      </c>
      <c r="D94" s="18" t="s">
        <v>93</v>
      </c>
      <c r="E94" s="19" t="s">
        <v>117</v>
      </c>
      <c r="F94" s="18" t="s">
        <v>2627</v>
      </c>
      <c r="G94" s="18" t="n">
        <v>0</v>
      </c>
      <c r="H94" s="18"/>
      <c r="I94" s="19" t="s">
        <v>2628</v>
      </c>
      <c r="J94" s="18"/>
    </row>
    <row r="95" customFormat="false" ht="15" hidden="false" customHeight="false" outlineLevel="0" collapsed="false">
      <c r="A95" s="18" t="s">
        <v>278</v>
      </c>
      <c r="B95" s="18" t="s">
        <v>45</v>
      </c>
      <c r="C95" s="18" t="s">
        <v>259</v>
      </c>
      <c r="D95" s="18" t="s">
        <v>93</v>
      </c>
      <c r="E95" s="19" t="s">
        <v>279</v>
      </c>
      <c r="F95" s="18" t="s">
        <v>2627</v>
      </c>
      <c r="G95" s="18" t="n">
        <v>0.1</v>
      </c>
      <c r="H95" s="18"/>
      <c r="I95" s="19" t="s">
        <v>2628</v>
      </c>
      <c r="J95" s="18"/>
    </row>
    <row r="96" customFormat="false" ht="15" hidden="false" customHeight="false" outlineLevel="0" collapsed="false">
      <c r="A96" s="18" t="s">
        <v>280</v>
      </c>
      <c r="B96" s="18" t="s">
        <v>45</v>
      </c>
      <c r="C96" s="18" t="s">
        <v>259</v>
      </c>
      <c r="D96" s="18" t="s">
        <v>93</v>
      </c>
      <c r="E96" s="19" t="s">
        <v>281</v>
      </c>
      <c r="F96" s="18" t="s">
        <v>2627</v>
      </c>
      <c r="G96" s="18" t="n">
        <v>0.38</v>
      </c>
      <c r="H96" s="18" t="s">
        <v>2629</v>
      </c>
      <c r="I96" s="19" t="s">
        <v>2628</v>
      </c>
      <c r="J96" s="18"/>
    </row>
    <row r="97" customFormat="false" ht="15" hidden="false" customHeight="false" outlineLevel="0" collapsed="false">
      <c r="A97" s="18" t="s">
        <v>282</v>
      </c>
      <c r="B97" s="18" t="s">
        <v>45</v>
      </c>
      <c r="C97" s="18" t="s">
        <v>259</v>
      </c>
      <c r="D97" s="18" t="s">
        <v>93</v>
      </c>
      <c r="E97" s="19" t="s">
        <v>283</v>
      </c>
      <c r="F97" s="18" t="s">
        <v>2627</v>
      </c>
      <c r="G97" s="18" t="n">
        <v>0.7</v>
      </c>
      <c r="H97" s="18" t="s">
        <v>2625</v>
      </c>
      <c r="I97" s="19" t="s">
        <v>2628</v>
      </c>
      <c r="J97" s="18"/>
    </row>
    <row r="98" customFormat="false" ht="15" hidden="false" customHeight="false" outlineLevel="0" collapsed="false">
      <c r="A98" s="18" t="s">
        <v>284</v>
      </c>
      <c r="B98" s="18" t="s">
        <v>45</v>
      </c>
      <c r="C98" s="18" t="s">
        <v>259</v>
      </c>
      <c r="D98" s="18" t="s">
        <v>93</v>
      </c>
      <c r="E98" s="19" t="s">
        <v>285</v>
      </c>
      <c r="F98" s="18" t="s">
        <v>2624</v>
      </c>
      <c r="G98" s="18" t="n">
        <v>1</v>
      </c>
      <c r="H98" s="18" t="s">
        <v>2625</v>
      </c>
      <c r="I98" s="19"/>
      <c r="J98" s="18"/>
    </row>
    <row r="99" customFormat="false" ht="15" hidden="false" customHeight="false" outlineLevel="0" collapsed="false">
      <c r="A99" s="18" t="s">
        <v>286</v>
      </c>
      <c r="B99" s="18" t="s">
        <v>45</v>
      </c>
      <c r="C99" s="18" t="s">
        <v>259</v>
      </c>
      <c r="D99" s="18" t="s">
        <v>93</v>
      </c>
      <c r="E99" s="19" t="s">
        <v>287</v>
      </c>
      <c r="F99" s="18" t="s">
        <v>2624</v>
      </c>
      <c r="G99" s="18" t="n">
        <v>1</v>
      </c>
      <c r="H99" s="18" t="s">
        <v>2625</v>
      </c>
      <c r="I99" s="19"/>
      <c r="J99" s="18"/>
    </row>
    <row r="100" customFormat="false" ht="15" hidden="false" customHeight="false" outlineLevel="0" collapsed="false">
      <c r="A100" s="18" t="s">
        <v>288</v>
      </c>
      <c r="B100" s="18" t="s">
        <v>45</v>
      </c>
      <c r="C100" s="18" t="s">
        <v>259</v>
      </c>
      <c r="D100" s="18" t="s">
        <v>93</v>
      </c>
      <c r="E100" s="19" t="s">
        <v>289</v>
      </c>
      <c r="F100" s="18" t="s">
        <v>2627</v>
      </c>
      <c r="G100" s="18" t="n">
        <v>0</v>
      </c>
      <c r="H100" s="18"/>
      <c r="I100" s="19" t="s">
        <v>2628</v>
      </c>
      <c r="J100" s="18"/>
    </row>
    <row r="101" customFormat="false" ht="15" hidden="false" customHeight="false" outlineLevel="0" collapsed="false">
      <c r="A101" s="18" t="s">
        <v>290</v>
      </c>
      <c r="B101" s="18" t="s">
        <v>45</v>
      </c>
      <c r="C101" s="18" t="s">
        <v>259</v>
      </c>
      <c r="D101" s="18" t="s">
        <v>93</v>
      </c>
      <c r="E101" s="19" t="s">
        <v>291</v>
      </c>
      <c r="F101" s="18" t="s">
        <v>2627</v>
      </c>
      <c r="G101" s="18" t="n">
        <v>0.17</v>
      </c>
      <c r="H101" s="18"/>
      <c r="I101" s="19" t="s">
        <v>2628</v>
      </c>
      <c r="J101" s="18"/>
    </row>
    <row r="102" customFormat="false" ht="15" hidden="false" customHeight="false" outlineLevel="0" collapsed="false">
      <c r="A102" s="18" t="s">
        <v>292</v>
      </c>
      <c r="B102" s="18" t="s">
        <v>45</v>
      </c>
      <c r="C102" s="18" t="s">
        <v>259</v>
      </c>
      <c r="D102" s="18" t="s">
        <v>93</v>
      </c>
      <c r="E102" s="19" t="s">
        <v>293</v>
      </c>
      <c r="F102" s="18" t="s">
        <v>2627</v>
      </c>
      <c r="G102" s="18" t="n">
        <v>0</v>
      </c>
      <c r="H102" s="18"/>
      <c r="I102" s="19" t="s">
        <v>2628</v>
      </c>
      <c r="J102" s="18"/>
    </row>
    <row r="103" customFormat="false" ht="32.8" hidden="false" customHeight="false" outlineLevel="0" collapsed="false">
      <c r="A103" s="18" t="s">
        <v>294</v>
      </c>
      <c r="B103" s="18" t="s">
        <v>45</v>
      </c>
      <c r="C103" s="18" t="s">
        <v>259</v>
      </c>
      <c r="D103" s="18" t="s">
        <v>93</v>
      </c>
      <c r="E103" s="19" t="s">
        <v>295</v>
      </c>
      <c r="F103" s="18" t="s">
        <v>2627</v>
      </c>
      <c r="G103" s="18" t="n">
        <v>0.21</v>
      </c>
      <c r="H103" s="18"/>
      <c r="I103" s="19" t="s">
        <v>2628</v>
      </c>
      <c r="J103" s="18"/>
    </row>
    <row r="104" customFormat="false" ht="32.8" hidden="false" customHeight="false" outlineLevel="0" collapsed="false">
      <c r="A104" s="18" t="s">
        <v>296</v>
      </c>
      <c r="B104" s="18" t="s">
        <v>45</v>
      </c>
      <c r="C104" s="18" t="s">
        <v>259</v>
      </c>
      <c r="D104" s="18" t="s">
        <v>93</v>
      </c>
      <c r="E104" s="19" t="s">
        <v>297</v>
      </c>
      <c r="F104" s="18" t="s">
        <v>2627</v>
      </c>
      <c r="G104" s="18" t="n">
        <v>0.11</v>
      </c>
      <c r="H104" s="18"/>
      <c r="I104" s="19" t="s">
        <v>2628</v>
      </c>
      <c r="J104" s="18"/>
    </row>
    <row r="105" customFormat="false" ht="15" hidden="false" customHeight="false" outlineLevel="0" collapsed="false">
      <c r="A105" s="18" t="s">
        <v>298</v>
      </c>
      <c r="B105" s="18" t="s">
        <v>45</v>
      </c>
      <c r="C105" s="18" t="s">
        <v>259</v>
      </c>
      <c r="D105" s="18" t="s">
        <v>93</v>
      </c>
      <c r="E105" s="19" t="s">
        <v>299</v>
      </c>
      <c r="F105" s="18" t="s">
        <v>2627</v>
      </c>
      <c r="G105" s="18" t="n">
        <v>0</v>
      </c>
      <c r="H105" s="18"/>
      <c r="I105" s="19" t="s">
        <v>2628</v>
      </c>
      <c r="J105" s="18"/>
    </row>
    <row r="106" customFormat="false" ht="15" hidden="false" customHeight="false" outlineLevel="0" collapsed="false">
      <c r="A106" s="18" t="s">
        <v>300</v>
      </c>
      <c r="B106" s="18" t="s">
        <v>45</v>
      </c>
      <c r="C106" s="18" t="s">
        <v>259</v>
      </c>
      <c r="D106" s="18" t="s">
        <v>93</v>
      </c>
      <c r="E106" s="19" t="s">
        <v>301</v>
      </c>
      <c r="F106" s="18" t="s">
        <v>2627</v>
      </c>
      <c r="G106" s="18" t="n">
        <v>0.25</v>
      </c>
      <c r="H106" s="18"/>
      <c r="I106" s="19" t="s">
        <v>2628</v>
      </c>
      <c r="J106" s="18"/>
    </row>
    <row r="107" customFormat="false" ht="22.35" hidden="false" customHeight="false" outlineLevel="0" collapsed="false">
      <c r="A107" s="18" t="s">
        <v>302</v>
      </c>
      <c r="B107" s="18" t="s">
        <v>45</v>
      </c>
      <c r="C107" s="18" t="s">
        <v>259</v>
      </c>
      <c r="D107" s="18" t="s">
        <v>93</v>
      </c>
      <c r="E107" s="19" t="s">
        <v>303</v>
      </c>
      <c r="F107" s="18" t="s">
        <v>2627</v>
      </c>
      <c r="G107" s="18" t="n">
        <v>0</v>
      </c>
      <c r="H107" s="18"/>
      <c r="I107" s="19" t="s">
        <v>2628</v>
      </c>
      <c r="J107" s="18"/>
    </row>
    <row r="108" customFormat="false" ht="15" hidden="false" customHeight="false" outlineLevel="0" collapsed="false">
      <c r="A108" s="18" t="s">
        <v>304</v>
      </c>
      <c r="B108" s="18" t="s">
        <v>45</v>
      </c>
      <c r="C108" s="18" t="s">
        <v>259</v>
      </c>
      <c r="D108" s="18" t="s">
        <v>93</v>
      </c>
      <c r="E108" s="19" t="s">
        <v>305</v>
      </c>
      <c r="F108" s="18" t="s">
        <v>2627</v>
      </c>
      <c r="G108" s="18" t="n">
        <v>0.18</v>
      </c>
      <c r="H108" s="18"/>
      <c r="I108" s="19" t="s">
        <v>2628</v>
      </c>
      <c r="J108" s="18"/>
    </row>
    <row r="109" customFormat="false" ht="43.25" hidden="false" customHeight="false" outlineLevel="0" collapsed="false">
      <c r="A109" s="18" t="s">
        <v>306</v>
      </c>
      <c r="B109" s="18" t="s">
        <v>45</v>
      </c>
      <c r="C109" s="18" t="s">
        <v>259</v>
      </c>
      <c r="D109" s="18" t="s">
        <v>93</v>
      </c>
      <c r="E109" s="19" t="s">
        <v>307</v>
      </c>
      <c r="F109" s="18" t="s">
        <v>2627</v>
      </c>
      <c r="G109" s="18" t="n">
        <v>0.05</v>
      </c>
      <c r="H109" s="18"/>
      <c r="I109" s="19" t="s">
        <v>2628</v>
      </c>
      <c r="J109" s="18"/>
    </row>
    <row r="110" customFormat="false" ht="15" hidden="false" customHeight="false" outlineLevel="0" collapsed="false">
      <c r="A110" s="18" t="s">
        <v>308</v>
      </c>
      <c r="B110" s="18" t="s">
        <v>45</v>
      </c>
      <c r="C110" s="18" t="s">
        <v>259</v>
      </c>
      <c r="D110" s="18" t="s">
        <v>93</v>
      </c>
      <c r="E110" s="19" t="s">
        <v>309</v>
      </c>
      <c r="F110" s="18" t="s">
        <v>2624</v>
      </c>
      <c r="G110" s="18" t="n">
        <v>1</v>
      </c>
      <c r="H110" s="18" t="s">
        <v>2625</v>
      </c>
      <c r="I110" s="19"/>
      <c r="J110" s="18"/>
    </row>
    <row r="111" customFormat="false" ht="15" hidden="false" customHeight="false" outlineLevel="0" collapsed="false">
      <c r="A111" s="18" t="s">
        <v>310</v>
      </c>
      <c r="B111" s="18" t="s">
        <v>45</v>
      </c>
      <c r="C111" s="18" t="s">
        <v>259</v>
      </c>
      <c r="D111" s="18" t="s">
        <v>93</v>
      </c>
      <c r="E111" s="19" t="s">
        <v>311</v>
      </c>
      <c r="F111" s="18" t="s">
        <v>2627</v>
      </c>
      <c r="G111" s="18" t="n">
        <v>0</v>
      </c>
      <c r="H111" s="18"/>
      <c r="I111" s="19" t="s">
        <v>2628</v>
      </c>
      <c r="J111" s="18"/>
    </row>
    <row r="112" customFormat="false" ht="15" hidden="false" customHeight="false" outlineLevel="0" collapsed="false">
      <c r="A112" s="18" t="s">
        <v>312</v>
      </c>
      <c r="B112" s="18" t="s">
        <v>45</v>
      </c>
      <c r="C112" s="18" t="s">
        <v>259</v>
      </c>
      <c r="D112" s="18" t="s">
        <v>93</v>
      </c>
      <c r="E112" s="19" t="s">
        <v>313</v>
      </c>
      <c r="F112" s="18" t="s">
        <v>2627</v>
      </c>
      <c r="G112" s="18" t="n">
        <v>0</v>
      </c>
      <c r="H112" s="18"/>
      <c r="I112" s="19" t="s">
        <v>2628</v>
      </c>
      <c r="J112" s="18"/>
    </row>
    <row r="113" customFormat="false" ht="22.35" hidden="false" customHeight="false" outlineLevel="0" collapsed="false">
      <c r="A113" s="18" t="s">
        <v>314</v>
      </c>
      <c r="B113" s="18" t="s">
        <v>45</v>
      </c>
      <c r="C113" s="18" t="s">
        <v>259</v>
      </c>
      <c r="D113" s="18" t="s">
        <v>93</v>
      </c>
      <c r="E113" s="19" t="s">
        <v>315</v>
      </c>
      <c r="F113" s="18" t="s">
        <v>2627</v>
      </c>
      <c r="G113" s="18" t="n">
        <v>0.14</v>
      </c>
      <c r="H113" s="18"/>
      <c r="I113" s="19" t="s">
        <v>2628</v>
      </c>
      <c r="J113" s="18"/>
    </row>
    <row r="114" customFormat="false" ht="32.8" hidden="false" customHeight="false" outlineLevel="0" collapsed="false">
      <c r="A114" s="18" t="s">
        <v>316</v>
      </c>
      <c r="B114" s="18" t="s">
        <v>45</v>
      </c>
      <c r="C114" s="18" t="s">
        <v>259</v>
      </c>
      <c r="D114" s="18" t="s">
        <v>93</v>
      </c>
      <c r="E114" s="19" t="s">
        <v>317</v>
      </c>
      <c r="F114" s="18" t="s">
        <v>2627</v>
      </c>
      <c r="G114" s="18" t="n">
        <v>0.05</v>
      </c>
      <c r="H114" s="18"/>
      <c r="I114" s="19" t="s">
        <v>2628</v>
      </c>
      <c r="J114" s="18"/>
    </row>
    <row r="115" customFormat="false" ht="22.35" hidden="false" customHeight="false" outlineLevel="0" collapsed="false">
      <c r="A115" s="18" t="s">
        <v>318</v>
      </c>
      <c r="B115" s="18" t="s">
        <v>45</v>
      </c>
      <c r="C115" s="18" t="s">
        <v>259</v>
      </c>
      <c r="D115" s="18" t="s">
        <v>93</v>
      </c>
      <c r="E115" s="19" t="s">
        <v>319</v>
      </c>
      <c r="F115" s="18" t="s">
        <v>2627</v>
      </c>
      <c r="G115" s="18" t="n">
        <v>0</v>
      </c>
      <c r="H115" s="18"/>
      <c r="I115" s="19" t="s">
        <v>2628</v>
      </c>
      <c r="J115" s="18"/>
    </row>
    <row r="116" customFormat="false" ht="32.8" hidden="false" customHeight="false" outlineLevel="0" collapsed="false">
      <c r="A116" s="18" t="s">
        <v>320</v>
      </c>
      <c r="B116" s="18" t="s">
        <v>45</v>
      </c>
      <c r="C116" s="18" t="s">
        <v>259</v>
      </c>
      <c r="D116" s="18" t="s">
        <v>93</v>
      </c>
      <c r="E116" s="19" t="s">
        <v>321</v>
      </c>
      <c r="F116" s="18" t="s">
        <v>2627</v>
      </c>
      <c r="G116" s="18" t="n">
        <v>0.07</v>
      </c>
      <c r="H116" s="18"/>
      <c r="I116" s="19" t="s">
        <v>2628</v>
      </c>
      <c r="J116" s="18"/>
    </row>
    <row r="117" customFormat="false" ht="22.35" hidden="false" customHeight="false" outlineLevel="0" collapsed="false">
      <c r="A117" s="18" t="s">
        <v>322</v>
      </c>
      <c r="B117" s="18" t="s">
        <v>45</v>
      </c>
      <c r="C117" s="18" t="s">
        <v>259</v>
      </c>
      <c r="D117" s="18" t="s">
        <v>93</v>
      </c>
      <c r="E117" s="19" t="s">
        <v>323</v>
      </c>
      <c r="F117" s="18" t="s">
        <v>2627</v>
      </c>
      <c r="G117" s="18" t="n">
        <v>0.4</v>
      </c>
      <c r="H117" s="18" t="s">
        <v>2625</v>
      </c>
      <c r="I117" s="19" t="s">
        <v>2628</v>
      </c>
      <c r="J117" s="18"/>
    </row>
    <row r="118" customFormat="false" ht="15" hidden="false" customHeight="false" outlineLevel="0" collapsed="false">
      <c r="A118" s="18" t="s">
        <v>324</v>
      </c>
      <c r="B118" s="18" t="s">
        <v>45</v>
      </c>
      <c r="C118" s="18" t="s">
        <v>259</v>
      </c>
      <c r="D118" s="18" t="s">
        <v>93</v>
      </c>
      <c r="E118" s="19" t="s">
        <v>325</v>
      </c>
      <c r="F118" s="18" t="s">
        <v>2627</v>
      </c>
      <c r="G118" s="18" t="n">
        <v>0</v>
      </c>
      <c r="H118" s="18"/>
      <c r="I118" s="19" t="s">
        <v>2628</v>
      </c>
      <c r="J118" s="18"/>
    </row>
    <row r="119" customFormat="false" ht="15" hidden="false" customHeight="false" outlineLevel="0" collapsed="false">
      <c r="A119" s="18" t="s">
        <v>326</v>
      </c>
      <c r="B119" s="18" t="s">
        <v>45</v>
      </c>
      <c r="C119" s="18" t="s">
        <v>259</v>
      </c>
      <c r="D119" s="18" t="s">
        <v>93</v>
      </c>
      <c r="E119" s="19" t="s">
        <v>327</v>
      </c>
      <c r="F119" s="18" t="s">
        <v>2624</v>
      </c>
      <c r="G119" s="18" t="n">
        <v>1</v>
      </c>
      <c r="H119" s="18" t="s">
        <v>2638</v>
      </c>
      <c r="I119" s="19"/>
      <c r="J119" s="18"/>
    </row>
    <row r="120" customFormat="false" ht="32.8" hidden="false" customHeight="false" outlineLevel="0" collapsed="false">
      <c r="A120" s="18" t="s">
        <v>328</v>
      </c>
      <c r="B120" s="18" t="s">
        <v>45</v>
      </c>
      <c r="C120" s="18" t="s">
        <v>259</v>
      </c>
      <c r="D120" s="18" t="s">
        <v>93</v>
      </c>
      <c r="E120" s="19" t="s">
        <v>329</v>
      </c>
      <c r="F120" s="18" t="s">
        <v>2624</v>
      </c>
      <c r="G120" s="18" t="n">
        <v>1</v>
      </c>
      <c r="H120" s="18" t="s">
        <v>2629</v>
      </c>
      <c r="I120" s="19"/>
      <c r="J120" s="18"/>
    </row>
    <row r="121" customFormat="false" ht="22.35" hidden="false" customHeight="false" outlineLevel="0" collapsed="false">
      <c r="A121" s="18" t="s">
        <v>330</v>
      </c>
      <c r="B121" s="18" t="s">
        <v>45</v>
      </c>
      <c r="C121" s="18" t="s">
        <v>259</v>
      </c>
      <c r="D121" s="18" t="s">
        <v>84</v>
      </c>
      <c r="E121" s="19" t="s">
        <v>331</v>
      </c>
      <c r="F121" s="18" t="s">
        <v>2631</v>
      </c>
      <c r="G121" s="18" t="n">
        <v>0.17</v>
      </c>
      <c r="H121" s="18"/>
      <c r="I121" s="19" t="s">
        <v>2639</v>
      </c>
      <c r="J121" s="18"/>
    </row>
    <row r="122" customFormat="false" ht="22.35" hidden="false" customHeight="false" outlineLevel="0" collapsed="false">
      <c r="A122" s="18" t="s">
        <v>332</v>
      </c>
      <c r="B122" s="18" t="s">
        <v>45</v>
      </c>
      <c r="C122" s="18" t="s">
        <v>259</v>
      </c>
      <c r="D122" s="18" t="s">
        <v>84</v>
      </c>
      <c r="E122" s="19" t="s">
        <v>333</v>
      </c>
      <c r="F122" s="18" t="s">
        <v>2631</v>
      </c>
      <c r="G122" s="18" t="n">
        <v>0.21</v>
      </c>
      <c r="H122" s="18"/>
      <c r="I122" s="19" t="s">
        <v>2639</v>
      </c>
      <c r="J122" s="18"/>
    </row>
    <row r="123" customFormat="false" ht="22.35" hidden="false" customHeight="false" outlineLevel="0" collapsed="false">
      <c r="A123" s="18" t="s">
        <v>334</v>
      </c>
      <c r="B123" s="18" t="s">
        <v>45</v>
      </c>
      <c r="C123" s="18" t="s">
        <v>259</v>
      </c>
      <c r="D123" s="18" t="s">
        <v>84</v>
      </c>
      <c r="E123" s="19" t="s">
        <v>335</v>
      </c>
      <c r="F123" s="18" t="s">
        <v>2631</v>
      </c>
      <c r="G123" s="18" t="n">
        <v>0.1</v>
      </c>
      <c r="H123" s="18"/>
      <c r="I123" s="19" t="s">
        <v>2639</v>
      </c>
      <c r="J123" s="18"/>
    </row>
    <row r="124" customFormat="false" ht="22.35" hidden="false" customHeight="false" outlineLevel="0" collapsed="false">
      <c r="A124" s="18" t="s">
        <v>336</v>
      </c>
      <c r="B124" s="18" t="s">
        <v>45</v>
      </c>
      <c r="C124" s="18" t="s">
        <v>259</v>
      </c>
      <c r="D124" s="18" t="s">
        <v>84</v>
      </c>
      <c r="E124" s="19" t="s">
        <v>337</v>
      </c>
      <c r="F124" s="18" t="s">
        <v>2631</v>
      </c>
      <c r="G124" s="18" t="n">
        <v>0.08</v>
      </c>
      <c r="H124" s="18"/>
      <c r="I124" s="19" t="s">
        <v>2639</v>
      </c>
      <c r="J124" s="18"/>
    </row>
    <row r="125" customFormat="false" ht="22.35" hidden="false" customHeight="false" outlineLevel="0" collapsed="false">
      <c r="A125" s="18" t="s">
        <v>338</v>
      </c>
      <c r="B125" s="18" t="s">
        <v>45</v>
      </c>
      <c r="C125" s="18" t="s">
        <v>259</v>
      </c>
      <c r="D125" s="18" t="s">
        <v>84</v>
      </c>
      <c r="E125" s="19" t="s">
        <v>339</v>
      </c>
      <c r="F125" s="18" t="s">
        <v>2631</v>
      </c>
      <c r="G125" s="18" t="n">
        <v>0.5</v>
      </c>
      <c r="H125" s="18" t="s">
        <v>2625</v>
      </c>
      <c r="I125" s="19" t="s">
        <v>2639</v>
      </c>
      <c r="J125" s="18"/>
    </row>
    <row r="126" customFormat="false" ht="22.35" hidden="false" customHeight="false" outlineLevel="0" collapsed="false">
      <c r="A126" s="18" t="s">
        <v>340</v>
      </c>
      <c r="B126" s="18" t="s">
        <v>45</v>
      </c>
      <c r="C126" s="18" t="s">
        <v>259</v>
      </c>
      <c r="D126" s="18" t="s">
        <v>84</v>
      </c>
      <c r="E126" s="19" t="s">
        <v>341</v>
      </c>
      <c r="F126" s="18" t="s">
        <v>2631</v>
      </c>
      <c r="G126" s="18" t="n">
        <v>0.27</v>
      </c>
      <c r="H126" s="18"/>
      <c r="I126" s="19" t="s">
        <v>2639</v>
      </c>
      <c r="J126" s="18"/>
    </row>
    <row r="127" customFormat="false" ht="15" hidden="false" customHeight="false" outlineLevel="0" collapsed="false">
      <c r="A127" s="18" t="s">
        <v>342</v>
      </c>
      <c r="B127" s="18" t="s">
        <v>45</v>
      </c>
      <c r="C127" s="18" t="s">
        <v>259</v>
      </c>
      <c r="D127" s="18" t="s">
        <v>158</v>
      </c>
      <c r="E127" s="19" t="s">
        <v>343</v>
      </c>
      <c r="F127" s="18" t="s">
        <v>2630</v>
      </c>
      <c r="G127" s="18" t="n">
        <v>0.6</v>
      </c>
      <c r="H127" s="18" t="s">
        <v>2629</v>
      </c>
      <c r="I127" s="19"/>
      <c r="J127" s="18"/>
    </row>
    <row r="128" customFormat="false" ht="15" hidden="false" customHeight="false" outlineLevel="0" collapsed="false">
      <c r="A128" s="18" t="s">
        <v>344</v>
      </c>
      <c r="B128" s="18" t="s">
        <v>45</v>
      </c>
      <c r="C128" s="18" t="s">
        <v>259</v>
      </c>
      <c r="D128" s="18" t="s">
        <v>158</v>
      </c>
      <c r="E128" s="19" t="s">
        <v>345</v>
      </c>
      <c r="F128" s="18" t="s">
        <v>2624</v>
      </c>
      <c r="G128" s="18" t="n">
        <v>1</v>
      </c>
      <c r="H128" s="18" t="s">
        <v>2629</v>
      </c>
      <c r="I128" s="19"/>
      <c r="J128" s="18"/>
    </row>
    <row r="129" customFormat="false" ht="64.15" hidden="false" customHeight="false" outlineLevel="0" collapsed="false">
      <c r="A129" s="18" t="s">
        <v>346</v>
      </c>
      <c r="B129" s="18" t="s">
        <v>45</v>
      </c>
      <c r="C129" s="18" t="s">
        <v>259</v>
      </c>
      <c r="D129" s="18" t="s">
        <v>164</v>
      </c>
      <c r="E129" s="19" t="s">
        <v>347</v>
      </c>
      <c r="F129" s="18" t="s">
        <v>2624</v>
      </c>
      <c r="G129" s="18" t="n">
        <v>1</v>
      </c>
      <c r="H129" s="18" t="s">
        <v>2625</v>
      </c>
      <c r="I129" s="19"/>
      <c r="J129" s="18"/>
    </row>
    <row r="130" customFormat="false" ht="53.7" hidden="false" customHeight="false" outlineLevel="0" collapsed="false">
      <c r="A130" s="18" t="s">
        <v>348</v>
      </c>
      <c r="B130" s="18" t="s">
        <v>45</v>
      </c>
      <c r="C130" s="18" t="s">
        <v>259</v>
      </c>
      <c r="D130" s="18" t="s">
        <v>164</v>
      </c>
      <c r="E130" s="19" t="s">
        <v>349</v>
      </c>
      <c r="F130" s="18" t="s">
        <v>2624</v>
      </c>
      <c r="G130" s="18" t="n">
        <v>1</v>
      </c>
      <c r="H130" s="18" t="s">
        <v>2629</v>
      </c>
      <c r="I130" s="19"/>
      <c r="J130" s="18"/>
    </row>
    <row r="131" customFormat="false" ht="15" hidden="false" customHeight="false" outlineLevel="0" collapsed="false">
      <c r="A131" s="18" t="s">
        <v>350</v>
      </c>
      <c r="B131" s="18" t="s">
        <v>45</v>
      </c>
      <c r="C131" s="18" t="s">
        <v>259</v>
      </c>
      <c r="D131" s="18" t="s">
        <v>164</v>
      </c>
      <c r="E131" s="19" t="s">
        <v>351</v>
      </c>
      <c r="F131" s="18" t="s">
        <v>2624</v>
      </c>
      <c r="G131" s="18" t="n">
        <v>1</v>
      </c>
      <c r="H131" s="18" t="s">
        <v>2625</v>
      </c>
      <c r="I131" s="19"/>
      <c r="J131" s="18"/>
    </row>
    <row r="132" customFormat="false" ht="231.3" hidden="false" customHeight="false" outlineLevel="0" collapsed="false">
      <c r="A132" s="18" t="s">
        <v>352</v>
      </c>
      <c r="B132" s="18" t="s">
        <v>45</v>
      </c>
      <c r="C132" s="18" t="s">
        <v>259</v>
      </c>
      <c r="D132" s="18" t="s">
        <v>354</v>
      </c>
      <c r="E132" s="19" t="s">
        <v>353</v>
      </c>
      <c r="F132" s="18" t="s">
        <v>2624</v>
      </c>
      <c r="G132" s="18" t="n">
        <v>1</v>
      </c>
      <c r="H132" s="18" t="s">
        <v>2625</v>
      </c>
      <c r="I132" s="19"/>
      <c r="J132" s="18"/>
    </row>
    <row r="133" customFormat="false" ht="85.05" hidden="false" customHeight="false" outlineLevel="0" collapsed="false">
      <c r="A133" s="18" t="s">
        <v>356</v>
      </c>
      <c r="B133" s="18" t="s">
        <v>45</v>
      </c>
      <c r="C133" s="18" t="s">
        <v>259</v>
      </c>
      <c r="D133" s="18" t="s">
        <v>175</v>
      </c>
      <c r="E133" s="19" t="s">
        <v>357</v>
      </c>
      <c r="F133" s="18" t="s">
        <v>2624</v>
      </c>
      <c r="G133" s="18" t="n">
        <v>1</v>
      </c>
      <c r="H133" s="18" t="s">
        <v>2625</v>
      </c>
      <c r="I133" s="19"/>
      <c r="J133" s="18"/>
    </row>
    <row r="134" customFormat="false" ht="32.8" hidden="false" customHeight="false" outlineLevel="0" collapsed="false">
      <c r="A134" s="18" t="s">
        <v>358</v>
      </c>
      <c r="B134" s="18" t="s">
        <v>45</v>
      </c>
      <c r="C134" s="18" t="s">
        <v>259</v>
      </c>
      <c r="D134" s="18" t="s">
        <v>175</v>
      </c>
      <c r="E134" s="19" t="s">
        <v>359</v>
      </c>
      <c r="F134" s="18" t="s">
        <v>2624</v>
      </c>
      <c r="G134" s="18" t="n">
        <v>0.9</v>
      </c>
      <c r="H134" s="18" t="s">
        <v>2629</v>
      </c>
      <c r="I134" s="19"/>
      <c r="J134" s="18"/>
    </row>
    <row r="135" customFormat="false" ht="15" hidden="false" customHeight="false" outlineLevel="0" collapsed="false">
      <c r="A135" s="18" t="s">
        <v>360</v>
      </c>
      <c r="B135" s="18" t="s">
        <v>45</v>
      </c>
      <c r="C135" s="18" t="s">
        <v>259</v>
      </c>
      <c r="D135" s="18" t="s">
        <v>158</v>
      </c>
      <c r="E135" s="19" t="s">
        <v>361</v>
      </c>
      <c r="F135" s="18" t="s">
        <v>2624</v>
      </c>
      <c r="G135" s="18" t="n">
        <v>1</v>
      </c>
      <c r="H135" s="18" t="s">
        <v>2625</v>
      </c>
      <c r="I135" s="19"/>
      <c r="J135" s="18"/>
    </row>
    <row r="136" customFormat="false" ht="15" hidden="false" customHeight="false" outlineLevel="0" collapsed="false">
      <c r="A136" s="18" t="s">
        <v>362</v>
      </c>
      <c r="B136" s="18" t="s">
        <v>45</v>
      </c>
      <c r="C136" s="18" t="s">
        <v>259</v>
      </c>
      <c r="D136" s="18" t="s">
        <v>158</v>
      </c>
      <c r="E136" s="19" t="s">
        <v>363</v>
      </c>
      <c r="F136" s="18" t="s">
        <v>2624</v>
      </c>
      <c r="G136" s="18" t="n">
        <v>1</v>
      </c>
      <c r="H136" s="18" t="s">
        <v>2640</v>
      </c>
      <c r="I136" s="19"/>
      <c r="J136" s="18"/>
    </row>
    <row r="137" customFormat="false" ht="22.35" hidden="false" customHeight="false" outlineLevel="0" collapsed="false">
      <c r="A137" s="18" t="s">
        <v>364</v>
      </c>
      <c r="B137" s="18" t="s">
        <v>45</v>
      </c>
      <c r="C137" s="18" t="s">
        <v>259</v>
      </c>
      <c r="D137" s="18" t="s">
        <v>164</v>
      </c>
      <c r="E137" s="19" t="s">
        <v>365</v>
      </c>
      <c r="F137" s="18" t="s">
        <v>2624</v>
      </c>
      <c r="G137" s="18" t="n">
        <v>1</v>
      </c>
      <c r="H137" s="18" t="s">
        <v>2629</v>
      </c>
      <c r="I137" s="19"/>
      <c r="J137" s="18"/>
    </row>
    <row r="138" customFormat="false" ht="32.8" hidden="false" customHeight="false" outlineLevel="0" collapsed="false">
      <c r="A138" s="18" t="s">
        <v>366</v>
      </c>
      <c r="B138" s="18" t="s">
        <v>45</v>
      </c>
      <c r="C138" s="18" t="s">
        <v>259</v>
      </c>
      <c r="D138" s="18" t="s">
        <v>164</v>
      </c>
      <c r="E138" s="19" t="s">
        <v>367</v>
      </c>
      <c r="F138" s="18" t="s">
        <v>2630</v>
      </c>
      <c r="G138" s="18" t="n">
        <v>0.7</v>
      </c>
      <c r="H138" s="18" t="s">
        <v>2629</v>
      </c>
      <c r="I138" s="19"/>
      <c r="J138" s="18"/>
    </row>
    <row r="139" customFormat="false" ht="22.35" hidden="false" customHeight="false" outlineLevel="0" collapsed="false">
      <c r="A139" s="18" t="s">
        <v>368</v>
      </c>
      <c r="B139" s="18" t="s">
        <v>45</v>
      </c>
      <c r="C139" s="18" t="s">
        <v>259</v>
      </c>
      <c r="D139" s="18" t="s">
        <v>164</v>
      </c>
      <c r="E139" s="19" t="s">
        <v>369</v>
      </c>
      <c r="F139" s="18" t="s">
        <v>2624</v>
      </c>
      <c r="G139" s="18" t="n">
        <v>1</v>
      </c>
      <c r="H139" s="18" t="s">
        <v>2629</v>
      </c>
      <c r="I139" s="19"/>
      <c r="J139" s="18"/>
    </row>
    <row r="140" customFormat="false" ht="15" hidden="false" customHeight="false" outlineLevel="0" collapsed="false">
      <c r="A140" s="18" t="s">
        <v>370</v>
      </c>
      <c r="B140" s="18" t="s">
        <v>45</v>
      </c>
      <c r="C140" s="18" t="s">
        <v>259</v>
      </c>
      <c r="D140" s="18" t="s">
        <v>175</v>
      </c>
      <c r="E140" s="19" t="s">
        <v>371</v>
      </c>
      <c r="F140" s="18" t="s">
        <v>2624</v>
      </c>
      <c r="G140" s="18" t="n">
        <v>1</v>
      </c>
      <c r="H140" s="18" t="s">
        <v>2629</v>
      </c>
      <c r="I140" s="19"/>
      <c r="J140" s="18"/>
    </row>
    <row r="141" customFormat="false" ht="22.35" hidden="false" customHeight="false" outlineLevel="0" collapsed="false">
      <c r="A141" s="18" t="s">
        <v>372</v>
      </c>
      <c r="B141" s="18" t="s">
        <v>45</v>
      </c>
      <c r="C141" s="18" t="s">
        <v>259</v>
      </c>
      <c r="D141" s="18" t="s">
        <v>175</v>
      </c>
      <c r="E141" s="19" t="s">
        <v>373</v>
      </c>
      <c r="F141" s="18" t="s">
        <v>2624</v>
      </c>
      <c r="G141" s="18" t="n">
        <v>1</v>
      </c>
      <c r="H141" s="18" t="s">
        <v>2625</v>
      </c>
      <c r="I141" s="19"/>
      <c r="J141" s="18"/>
    </row>
    <row r="142" customFormat="false" ht="32.8" hidden="false" customHeight="false" outlineLevel="0" collapsed="false">
      <c r="A142" s="18" t="s">
        <v>374</v>
      </c>
      <c r="B142" s="18" t="s">
        <v>45</v>
      </c>
      <c r="C142" s="18" t="s">
        <v>259</v>
      </c>
      <c r="D142" s="18" t="s">
        <v>175</v>
      </c>
      <c r="E142" s="19" t="s">
        <v>375</v>
      </c>
      <c r="F142" s="18" t="s">
        <v>2630</v>
      </c>
      <c r="G142" s="18" t="n">
        <v>0.75</v>
      </c>
      <c r="H142" s="18" t="s">
        <v>2629</v>
      </c>
      <c r="I142" s="19"/>
      <c r="J142" s="18"/>
    </row>
    <row r="143" customFormat="false" ht="43.25" hidden="false" customHeight="false" outlineLevel="0" collapsed="false">
      <c r="A143" s="18" t="s">
        <v>376</v>
      </c>
      <c r="B143" s="18" t="s">
        <v>45</v>
      </c>
      <c r="C143" s="18" t="s">
        <v>259</v>
      </c>
      <c r="D143" s="18" t="s">
        <v>175</v>
      </c>
      <c r="E143" s="19" t="s">
        <v>377</v>
      </c>
      <c r="F143" s="18" t="s">
        <v>2624</v>
      </c>
      <c r="G143" s="18" t="n">
        <v>1</v>
      </c>
      <c r="H143" s="18" t="s">
        <v>2625</v>
      </c>
      <c r="I143" s="19"/>
      <c r="J143" s="18"/>
    </row>
    <row r="144" customFormat="false" ht="32.8" hidden="false" customHeight="false" outlineLevel="0" collapsed="false">
      <c r="A144" s="18" t="s">
        <v>378</v>
      </c>
      <c r="B144" s="18" t="s">
        <v>45</v>
      </c>
      <c r="C144" s="18" t="s">
        <v>259</v>
      </c>
      <c r="D144" s="18" t="s">
        <v>175</v>
      </c>
      <c r="E144" s="19" t="s">
        <v>379</v>
      </c>
      <c r="F144" s="18" t="s">
        <v>2624</v>
      </c>
      <c r="G144" s="18" t="n">
        <v>1</v>
      </c>
      <c r="H144" s="18" t="s">
        <v>2625</v>
      </c>
      <c r="I144" s="19"/>
      <c r="J144" s="18"/>
    </row>
    <row r="145" customFormat="false" ht="22.35" hidden="false" customHeight="false" outlineLevel="0" collapsed="false">
      <c r="A145" s="18" t="s">
        <v>380</v>
      </c>
      <c r="B145" s="18" t="s">
        <v>45</v>
      </c>
      <c r="C145" s="18" t="s">
        <v>259</v>
      </c>
      <c r="D145" s="18" t="s">
        <v>164</v>
      </c>
      <c r="E145" s="19" t="s">
        <v>381</v>
      </c>
      <c r="F145" s="18" t="s">
        <v>2624</v>
      </c>
      <c r="G145" s="18" t="n">
        <v>1</v>
      </c>
      <c r="H145" s="18" t="s">
        <v>2629</v>
      </c>
      <c r="I145" s="19"/>
      <c r="J145" s="18"/>
    </row>
    <row r="146" customFormat="false" ht="22.35" hidden="false" customHeight="false" outlineLevel="0" collapsed="false">
      <c r="A146" s="18" t="s">
        <v>382</v>
      </c>
      <c r="B146" s="18" t="s">
        <v>45</v>
      </c>
      <c r="C146" s="18" t="s">
        <v>259</v>
      </c>
      <c r="D146" s="18" t="s">
        <v>164</v>
      </c>
      <c r="E146" s="19" t="s">
        <v>383</v>
      </c>
      <c r="F146" s="18" t="s">
        <v>2624</v>
      </c>
      <c r="G146" s="18" t="n">
        <v>1</v>
      </c>
      <c r="H146" s="18" t="s">
        <v>2629</v>
      </c>
      <c r="I146" s="19"/>
      <c r="J146" s="18"/>
    </row>
    <row r="147" customFormat="false" ht="15" hidden="false" customHeight="false" outlineLevel="0" collapsed="false">
      <c r="A147" s="18" t="s">
        <v>384</v>
      </c>
      <c r="B147" s="18" t="s">
        <v>45</v>
      </c>
      <c r="C147" s="18" t="s">
        <v>259</v>
      </c>
      <c r="D147" s="18" t="s">
        <v>164</v>
      </c>
      <c r="E147" s="19" t="s">
        <v>385</v>
      </c>
      <c r="F147" s="18" t="s">
        <v>2624</v>
      </c>
      <c r="G147" s="18" t="n">
        <v>1</v>
      </c>
      <c r="H147" s="18" t="s">
        <v>2641</v>
      </c>
      <c r="I147" s="19"/>
      <c r="J147" s="18"/>
    </row>
    <row r="148" customFormat="false" ht="53.7" hidden="false" customHeight="false" outlineLevel="0" collapsed="false">
      <c r="A148" s="18" t="s">
        <v>386</v>
      </c>
      <c r="B148" s="18" t="s">
        <v>45</v>
      </c>
      <c r="C148" s="18" t="s">
        <v>259</v>
      </c>
      <c r="D148" s="18" t="s">
        <v>175</v>
      </c>
      <c r="E148" s="19" t="s">
        <v>387</v>
      </c>
      <c r="F148" s="18" t="s">
        <v>2624</v>
      </c>
      <c r="G148" s="18" t="n">
        <v>0.89</v>
      </c>
      <c r="H148" s="18" t="s">
        <v>2625</v>
      </c>
      <c r="I148" s="19"/>
      <c r="J148" s="18"/>
    </row>
    <row r="149" customFormat="false" ht="15" hidden="false" customHeight="false" outlineLevel="0" collapsed="false">
      <c r="A149" s="18" t="s">
        <v>388</v>
      </c>
      <c r="B149" s="18" t="s">
        <v>45</v>
      </c>
      <c r="C149" s="18" t="s">
        <v>259</v>
      </c>
      <c r="D149" s="18" t="s">
        <v>158</v>
      </c>
      <c r="E149" s="19" t="s">
        <v>389</v>
      </c>
      <c r="F149" s="18" t="s">
        <v>2624</v>
      </c>
      <c r="G149" s="18" t="n">
        <v>1</v>
      </c>
      <c r="H149" s="18" t="s">
        <v>2629</v>
      </c>
      <c r="I149" s="19"/>
      <c r="J149" s="18"/>
    </row>
    <row r="150" customFormat="false" ht="22.35" hidden="false" customHeight="false" outlineLevel="0" collapsed="false">
      <c r="A150" s="18" t="s">
        <v>390</v>
      </c>
      <c r="B150" s="18" t="s">
        <v>45</v>
      </c>
      <c r="C150" s="18" t="s">
        <v>259</v>
      </c>
      <c r="D150" s="18" t="s">
        <v>164</v>
      </c>
      <c r="E150" s="19" t="s">
        <v>391</v>
      </c>
      <c r="F150" s="18" t="s">
        <v>2624</v>
      </c>
      <c r="G150" s="18" t="n">
        <v>1</v>
      </c>
      <c r="H150" s="18" t="s">
        <v>2629</v>
      </c>
      <c r="I150" s="19"/>
      <c r="J150" s="18"/>
    </row>
    <row r="151" customFormat="false" ht="32.8" hidden="false" customHeight="false" outlineLevel="0" collapsed="false">
      <c r="A151" s="18" t="s">
        <v>392</v>
      </c>
      <c r="B151" s="18" t="s">
        <v>45</v>
      </c>
      <c r="C151" s="18" t="s">
        <v>259</v>
      </c>
      <c r="D151" s="18" t="s">
        <v>164</v>
      </c>
      <c r="E151" s="19" t="s">
        <v>393</v>
      </c>
      <c r="F151" s="18" t="s">
        <v>2624</v>
      </c>
      <c r="G151" s="18" t="n">
        <v>0.94</v>
      </c>
      <c r="H151" s="18" t="s">
        <v>2629</v>
      </c>
      <c r="I151" s="19"/>
      <c r="J151" s="18"/>
    </row>
    <row r="152" customFormat="false" ht="22.35" hidden="false" customHeight="false" outlineLevel="0" collapsed="false">
      <c r="A152" s="18" t="s">
        <v>394</v>
      </c>
      <c r="B152" s="18" t="s">
        <v>45</v>
      </c>
      <c r="C152" s="18" t="s">
        <v>259</v>
      </c>
      <c r="D152" s="18" t="s">
        <v>164</v>
      </c>
      <c r="E152" s="19" t="s">
        <v>395</v>
      </c>
      <c r="F152" s="18" t="s">
        <v>2624</v>
      </c>
      <c r="G152" s="18" t="n">
        <v>1</v>
      </c>
      <c r="H152" s="18" t="s">
        <v>2629</v>
      </c>
      <c r="I152" s="19"/>
      <c r="J152" s="18"/>
    </row>
    <row r="153" customFormat="false" ht="15" hidden="false" customHeight="false" outlineLevel="0" collapsed="false">
      <c r="A153" s="18" t="s">
        <v>396</v>
      </c>
      <c r="B153" s="18" t="s">
        <v>45</v>
      </c>
      <c r="C153" s="18" t="s">
        <v>259</v>
      </c>
      <c r="D153" s="18" t="s">
        <v>175</v>
      </c>
      <c r="E153" s="19" t="s">
        <v>371</v>
      </c>
      <c r="F153" s="18" t="s">
        <v>2624</v>
      </c>
      <c r="G153" s="18" t="n">
        <v>1</v>
      </c>
      <c r="H153" s="18" t="s">
        <v>2629</v>
      </c>
      <c r="I153" s="19"/>
      <c r="J153" s="18"/>
    </row>
    <row r="154" customFormat="false" ht="32.8" hidden="false" customHeight="false" outlineLevel="0" collapsed="false">
      <c r="A154" s="18" t="s">
        <v>397</v>
      </c>
      <c r="B154" s="18" t="s">
        <v>45</v>
      </c>
      <c r="C154" s="18" t="s">
        <v>259</v>
      </c>
      <c r="D154" s="18" t="s">
        <v>175</v>
      </c>
      <c r="E154" s="19" t="s">
        <v>398</v>
      </c>
      <c r="F154" s="18" t="s">
        <v>2624</v>
      </c>
      <c r="G154" s="18" t="n">
        <v>1</v>
      </c>
      <c r="H154" s="18" t="s">
        <v>2629</v>
      </c>
      <c r="I154" s="19"/>
      <c r="J154" s="18"/>
    </row>
    <row r="155" customFormat="false" ht="32.8" hidden="false" customHeight="false" outlineLevel="0" collapsed="false">
      <c r="A155" s="18" t="s">
        <v>399</v>
      </c>
      <c r="B155" s="18" t="s">
        <v>45</v>
      </c>
      <c r="C155" s="18" t="s">
        <v>259</v>
      </c>
      <c r="D155" s="18" t="s">
        <v>175</v>
      </c>
      <c r="E155" s="19" t="s">
        <v>400</v>
      </c>
      <c r="F155" s="18" t="s">
        <v>2624</v>
      </c>
      <c r="G155" s="18" t="n">
        <v>1</v>
      </c>
      <c r="H155" s="18" t="s">
        <v>2629</v>
      </c>
      <c r="I155" s="19"/>
      <c r="J155" s="18"/>
    </row>
    <row r="156" customFormat="false" ht="32.8" hidden="false" customHeight="false" outlineLevel="0" collapsed="false">
      <c r="A156" s="18" t="s">
        <v>401</v>
      </c>
      <c r="B156" s="18" t="s">
        <v>45</v>
      </c>
      <c r="C156" s="18" t="s">
        <v>259</v>
      </c>
      <c r="D156" s="18" t="s">
        <v>175</v>
      </c>
      <c r="E156" s="19" t="s">
        <v>402</v>
      </c>
      <c r="F156" s="18" t="s">
        <v>2624</v>
      </c>
      <c r="G156" s="18" t="n">
        <v>1</v>
      </c>
      <c r="H156" s="18" t="s">
        <v>2629</v>
      </c>
      <c r="I156" s="19"/>
      <c r="J156" s="18"/>
    </row>
    <row r="157" customFormat="false" ht="22.35" hidden="false" customHeight="false" outlineLevel="0" collapsed="false">
      <c r="A157" s="18" t="s">
        <v>403</v>
      </c>
      <c r="B157" s="18" t="s">
        <v>45</v>
      </c>
      <c r="C157" s="18" t="s">
        <v>259</v>
      </c>
      <c r="D157" s="18" t="s">
        <v>164</v>
      </c>
      <c r="E157" s="19" t="s">
        <v>404</v>
      </c>
      <c r="F157" s="18" t="s">
        <v>2624</v>
      </c>
      <c r="G157" s="18" t="n">
        <v>1</v>
      </c>
      <c r="H157" s="18" t="s">
        <v>2629</v>
      </c>
      <c r="I157" s="19"/>
      <c r="J157" s="18"/>
    </row>
    <row r="158" customFormat="false" ht="32.8" hidden="false" customHeight="false" outlineLevel="0" collapsed="false">
      <c r="A158" s="18" t="s">
        <v>405</v>
      </c>
      <c r="B158" s="18" t="s">
        <v>45</v>
      </c>
      <c r="C158" s="18" t="s">
        <v>259</v>
      </c>
      <c r="D158" s="18" t="s">
        <v>164</v>
      </c>
      <c r="E158" s="19" t="s">
        <v>406</v>
      </c>
      <c r="F158" s="18" t="s">
        <v>2624</v>
      </c>
      <c r="G158" s="18" t="n">
        <v>1</v>
      </c>
      <c r="H158" s="18" t="s">
        <v>2629</v>
      </c>
      <c r="I158" s="19"/>
      <c r="J158" s="18"/>
    </row>
    <row r="159" customFormat="false" ht="32.8" hidden="false" customHeight="false" outlineLevel="0" collapsed="false">
      <c r="A159" s="18" t="s">
        <v>407</v>
      </c>
      <c r="B159" s="18" t="s">
        <v>45</v>
      </c>
      <c r="C159" s="18" t="s">
        <v>259</v>
      </c>
      <c r="D159" s="18" t="s">
        <v>175</v>
      </c>
      <c r="E159" s="19" t="s">
        <v>408</v>
      </c>
      <c r="F159" s="18" t="s">
        <v>2624</v>
      </c>
      <c r="G159" s="18" t="n">
        <v>1</v>
      </c>
      <c r="H159" s="18" t="s">
        <v>2629</v>
      </c>
      <c r="I159" s="19"/>
      <c r="J159" s="18"/>
    </row>
    <row r="160" customFormat="false" ht="22.35" hidden="false" customHeight="false" outlineLevel="0" collapsed="false">
      <c r="A160" s="18" t="s">
        <v>409</v>
      </c>
      <c r="B160" s="18" t="s">
        <v>45</v>
      </c>
      <c r="C160" s="18" t="s">
        <v>259</v>
      </c>
      <c r="D160" s="18" t="s">
        <v>411</v>
      </c>
      <c r="E160" s="19" t="s">
        <v>410</v>
      </c>
      <c r="F160" s="18" t="s">
        <v>2636</v>
      </c>
      <c r="G160" s="18" t="n">
        <v>1</v>
      </c>
      <c r="H160" s="18" t="s">
        <v>2625</v>
      </c>
      <c r="I160" s="19" t="s">
        <v>2642</v>
      </c>
      <c r="J160" s="18"/>
    </row>
    <row r="161" customFormat="false" ht="15" hidden="false" customHeight="false" outlineLevel="0" collapsed="false">
      <c r="A161" s="18" t="s">
        <v>414</v>
      </c>
      <c r="B161" s="18" t="s">
        <v>45</v>
      </c>
      <c r="C161" s="18" t="s">
        <v>259</v>
      </c>
      <c r="D161" s="18" t="s">
        <v>411</v>
      </c>
      <c r="E161" s="19" t="s">
        <v>415</v>
      </c>
      <c r="F161" s="18" t="s">
        <v>2624</v>
      </c>
      <c r="G161" s="18" t="n">
        <v>1</v>
      </c>
      <c r="H161" s="18" t="s">
        <v>2643</v>
      </c>
      <c r="I161" s="19"/>
      <c r="J161" s="18"/>
    </row>
    <row r="162" customFormat="false" ht="22.35" hidden="false" customHeight="false" outlineLevel="0" collapsed="false">
      <c r="A162" s="18" t="s">
        <v>416</v>
      </c>
      <c r="B162" s="18" t="s">
        <v>45</v>
      </c>
      <c r="C162" s="18" t="s">
        <v>259</v>
      </c>
      <c r="D162" s="18" t="s">
        <v>411</v>
      </c>
      <c r="E162" s="19" t="s">
        <v>417</v>
      </c>
      <c r="F162" s="18" t="s">
        <v>2624</v>
      </c>
      <c r="G162" s="18" t="n">
        <v>1</v>
      </c>
      <c r="H162" s="18" t="s">
        <v>2643</v>
      </c>
      <c r="I162" s="19"/>
      <c r="J162" s="18"/>
    </row>
    <row r="163" customFormat="false" ht="15" hidden="false" customHeight="false" outlineLevel="0" collapsed="false">
      <c r="A163" s="18" t="s">
        <v>418</v>
      </c>
      <c r="B163" s="18" t="s">
        <v>45</v>
      </c>
      <c r="C163" s="18" t="s">
        <v>259</v>
      </c>
      <c r="D163" s="18" t="s">
        <v>411</v>
      </c>
      <c r="E163" s="19" t="s">
        <v>419</v>
      </c>
      <c r="F163" s="18" t="s">
        <v>2624</v>
      </c>
      <c r="G163" s="18" t="n">
        <v>1</v>
      </c>
      <c r="H163" s="18" t="s">
        <v>2643</v>
      </c>
      <c r="I163" s="19"/>
      <c r="J163" s="18"/>
    </row>
    <row r="164" customFormat="false" ht="15" hidden="false" customHeight="false" outlineLevel="0" collapsed="false">
      <c r="A164" s="18" t="s">
        <v>420</v>
      </c>
      <c r="B164" s="18" t="s">
        <v>45</v>
      </c>
      <c r="C164" s="18" t="s">
        <v>259</v>
      </c>
      <c r="D164" s="18" t="s">
        <v>411</v>
      </c>
      <c r="E164" s="19" t="s">
        <v>421</v>
      </c>
      <c r="F164" s="18" t="s">
        <v>2624</v>
      </c>
      <c r="G164" s="18" t="n">
        <v>1</v>
      </c>
      <c r="H164" s="18" t="s">
        <v>2633</v>
      </c>
      <c r="I164" s="19"/>
      <c r="J164" s="18"/>
    </row>
    <row r="165" customFormat="false" ht="22.35" hidden="false" customHeight="false" outlineLevel="0" collapsed="false">
      <c r="A165" s="18" t="s">
        <v>422</v>
      </c>
      <c r="B165" s="18" t="s">
        <v>45</v>
      </c>
      <c r="C165" s="18" t="s">
        <v>259</v>
      </c>
      <c r="D165" s="18" t="s">
        <v>411</v>
      </c>
      <c r="E165" s="19" t="s">
        <v>423</v>
      </c>
      <c r="F165" s="18" t="s">
        <v>2624</v>
      </c>
      <c r="G165" s="18" t="n">
        <v>1</v>
      </c>
      <c r="H165" s="18" t="s">
        <v>2633</v>
      </c>
      <c r="I165" s="19"/>
      <c r="J165" s="18"/>
    </row>
    <row r="166" customFormat="false" ht="15" hidden="false" customHeight="false" outlineLevel="0" collapsed="false">
      <c r="A166" s="18" t="s">
        <v>424</v>
      </c>
      <c r="B166" s="18" t="s">
        <v>45</v>
      </c>
      <c r="C166" s="18" t="s">
        <v>259</v>
      </c>
      <c r="D166" s="18" t="s">
        <v>411</v>
      </c>
      <c r="E166" s="19" t="s">
        <v>425</v>
      </c>
      <c r="F166" s="18" t="s">
        <v>2624</v>
      </c>
      <c r="G166" s="18" t="n">
        <v>1</v>
      </c>
      <c r="H166" s="18" t="s">
        <v>2633</v>
      </c>
      <c r="I166" s="19"/>
      <c r="J166" s="18"/>
    </row>
    <row r="167" customFormat="false" ht="22.35" hidden="false" customHeight="false" outlineLevel="0" collapsed="false">
      <c r="A167" s="18" t="s">
        <v>426</v>
      </c>
      <c r="B167" s="18" t="s">
        <v>45</v>
      </c>
      <c r="C167" s="18" t="s">
        <v>259</v>
      </c>
      <c r="D167" s="18" t="s">
        <v>411</v>
      </c>
      <c r="E167" s="19" t="s">
        <v>427</v>
      </c>
      <c r="F167" s="18" t="s">
        <v>2624</v>
      </c>
      <c r="G167" s="18" t="n">
        <v>1</v>
      </c>
      <c r="H167" s="18" t="s">
        <v>2643</v>
      </c>
      <c r="I167" s="19"/>
      <c r="J167" s="18"/>
    </row>
    <row r="168" customFormat="false" ht="15" hidden="false" customHeight="false" outlineLevel="0" collapsed="false">
      <c r="A168" s="18" t="s">
        <v>428</v>
      </c>
      <c r="B168" s="18" t="s">
        <v>45</v>
      </c>
      <c r="C168" s="18" t="s">
        <v>259</v>
      </c>
      <c r="D168" s="18" t="s">
        <v>411</v>
      </c>
      <c r="E168" s="19" t="s">
        <v>429</v>
      </c>
      <c r="F168" s="18" t="s">
        <v>2624</v>
      </c>
      <c r="G168" s="18" t="n">
        <v>1</v>
      </c>
      <c r="H168" s="18" t="s">
        <v>2643</v>
      </c>
      <c r="I168" s="19"/>
      <c r="J168" s="18"/>
    </row>
    <row r="169" customFormat="false" ht="15" hidden="false" customHeight="false" outlineLevel="0" collapsed="false">
      <c r="A169" s="18" t="s">
        <v>430</v>
      </c>
      <c r="B169" s="18" t="s">
        <v>45</v>
      </c>
      <c r="C169" s="18" t="s">
        <v>259</v>
      </c>
      <c r="D169" s="18" t="s">
        <v>411</v>
      </c>
      <c r="E169" s="19" t="s">
        <v>431</v>
      </c>
      <c r="F169" s="18" t="s">
        <v>2624</v>
      </c>
      <c r="G169" s="18" t="n">
        <v>1</v>
      </c>
      <c r="H169" s="18" t="s">
        <v>2633</v>
      </c>
      <c r="I169" s="19"/>
      <c r="J169" s="18"/>
    </row>
    <row r="170" customFormat="false" ht="22.35" hidden="false" customHeight="false" outlineLevel="0" collapsed="false">
      <c r="A170" s="18" t="s">
        <v>432</v>
      </c>
      <c r="B170" s="18" t="s">
        <v>45</v>
      </c>
      <c r="C170" s="18" t="s">
        <v>259</v>
      </c>
      <c r="D170" s="18" t="s">
        <v>411</v>
      </c>
      <c r="E170" s="19" t="s">
        <v>433</v>
      </c>
      <c r="F170" s="18" t="s">
        <v>2624</v>
      </c>
      <c r="G170" s="18" t="n">
        <v>1</v>
      </c>
      <c r="H170" s="18" t="s">
        <v>2633</v>
      </c>
      <c r="I170" s="19"/>
      <c r="J170" s="18"/>
    </row>
    <row r="171" customFormat="false" ht="15" hidden="false" customHeight="false" outlineLevel="0" collapsed="false">
      <c r="A171" s="18" t="s">
        <v>434</v>
      </c>
      <c r="B171" s="18" t="s">
        <v>45</v>
      </c>
      <c r="C171" s="18" t="s">
        <v>259</v>
      </c>
      <c r="D171" s="18" t="s">
        <v>411</v>
      </c>
      <c r="E171" s="19" t="s">
        <v>435</v>
      </c>
      <c r="F171" s="18" t="s">
        <v>2624</v>
      </c>
      <c r="G171" s="18" t="n">
        <v>1</v>
      </c>
      <c r="H171" s="18" t="s">
        <v>2633</v>
      </c>
      <c r="I171" s="19"/>
      <c r="J171" s="18"/>
    </row>
    <row r="172" customFormat="false" ht="22.35" hidden="false" customHeight="false" outlineLevel="0" collapsed="false">
      <c r="A172" s="18" t="s">
        <v>436</v>
      </c>
      <c r="B172" s="18" t="s">
        <v>45</v>
      </c>
      <c r="C172" s="18" t="s">
        <v>259</v>
      </c>
      <c r="D172" s="18" t="s">
        <v>411</v>
      </c>
      <c r="E172" s="19" t="s">
        <v>437</v>
      </c>
      <c r="F172" s="18" t="s">
        <v>2624</v>
      </c>
      <c r="G172" s="18" t="n">
        <v>1</v>
      </c>
      <c r="H172" s="18" t="s">
        <v>2643</v>
      </c>
      <c r="I172" s="19"/>
      <c r="J172" s="18"/>
    </row>
    <row r="173" customFormat="false" ht="15" hidden="false" customHeight="false" outlineLevel="0" collapsed="false">
      <c r="A173" s="18" t="s">
        <v>438</v>
      </c>
      <c r="B173" s="18" t="s">
        <v>45</v>
      </c>
      <c r="C173" s="18" t="s">
        <v>259</v>
      </c>
      <c r="D173" s="18" t="s">
        <v>411</v>
      </c>
      <c r="E173" s="19" t="s">
        <v>439</v>
      </c>
      <c r="F173" s="18" t="s">
        <v>2624</v>
      </c>
      <c r="G173" s="18" t="n">
        <v>1</v>
      </c>
      <c r="H173" s="18" t="s">
        <v>2643</v>
      </c>
      <c r="I173" s="19"/>
      <c r="J173" s="18"/>
    </row>
    <row r="174" customFormat="false" ht="15" hidden="false" customHeight="false" outlineLevel="0" collapsed="false">
      <c r="A174" s="18" t="s">
        <v>440</v>
      </c>
      <c r="B174" s="18" t="s">
        <v>45</v>
      </c>
      <c r="C174" s="18" t="s">
        <v>259</v>
      </c>
      <c r="D174" s="18" t="s">
        <v>411</v>
      </c>
      <c r="E174" s="19" t="s">
        <v>441</v>
      </c>
      <c r="F174" s="18" t="s">
        <v>2624</v>
      </c>
      <c r="G174" s="18" t="n">
        <v>1</v>
      </c>
      <c r="H174" s="18" t="s">
        <v>2633</v>
      </c>
      <c r="I174" s="19"/>
      <c r="J174" s="18"/>
    </row>
    <row r="175" customFormat="false" ht="22.35" hidden="false" customHeight="false" outlineLevel="0" collapsed="false">
      <c r="A175" s="18" t="s">
        <v>442</v>
      </c>
      <c r="B175" s="18" t="s">
        <v>45</v>
      </c>
      <c r="C175" s="18" t="s">
        <v>259</v>
      </c>
      <c r="D175" s="18" t="s">
        <v>411</v>
      </c>
      <c r="E175" s="19" t="s">
        <v>443</v>
      </c>
      <c r="F175" s="18" t="s">
        <v>2624</v>
      </c>
      <c r="G175" s="18" t="n">
        <v>1</v>
      </c>
      <c r="H175" s="18" t="s">
        <v>2633</v>
      </c>
      <c r="I175" s="19"/>
      <c r="J175" s="18"/>
    </row>
    <row r="176" customFormat="false" ht="15" hidden="false" customHeight="false" outlineLevel="0" collapsed="false">
      <c r="A176" s="18" t="s">
        <v>444</v>
      </c>
      <c r="B176" s="18" t="s">
        <v>45</v>
      </c>
      <c r="C176" s="18" t="s">
        <v>259</v>
      </c>
      <c r="D176" s="18" t="s">
        <v>411</v>
      </c>
      <c r="E176" s="19" t="s">
        <v>445</v>
      </c>
      <c r="F176" s="18" t="s">
        <v>2624</v>
      </c>
      <c r="G176" s="18" t="n">
        <v>1</v>
      </c>
      <c r="H176" s="18" t="s">
        <v>2633</v>
      </c>
      <c r="I176" s="19"/>
      <c r="J176" s="18"/>
    </row>
    <row r="177" customFormat="false" ht="15" hidden="false" customHeight="false" outlineLevel="0" collapsed="false">
      <c r="A177" s="18" t="s">
        <v>446</v>
      </c>
      <c r="B177" s="18" t="s">
        <v>45</v>
      </c>
      <c r="C177" s="18" t="s">
        <v>259</v>
      </c>
      <c r="D177" s="18" t="s">
        <v>158</v>
      </c>
      <c r="E177" s="19" t="s">
        <v>447</v>
      </c>
      <c r="F177" s="18" t="s">
        <v>2624</v>
      </c>
      <c r="G177" s="18" t="n">
        <v>1</v>
      </c>
      <c r="H177" s="18" t="s">
        <v>2644</v>
      </c>
      <c r="I177" s="19"/>
      <c r="J177" s="18"/>
    </row>
    <row r="178" customFormat="false" ht="15" hidden="false" customHeight="false" outlineLevel="0" collapsed="false">
      <c r="A178" s="18" t="s">
        <v>448</v>
      </c>
      <c r="B178" s="18" t="s">
        <v>45</v>
      </c>
      <c r="C178" s="18" t="s">
        <v>259</v>
      </c>
      <c r="D178" s="18" t="s">
        <v>411</v>
      </c>
      <c r="E178" s="19" t="s">
        <v>449</v>
      </c>
      <c r="F178" s="18" t="s">
        <v>2624</v>
      </c>
      <c r="G178" s="18" t="n">
        <v>1</v>
      </c>
      <c r="H178" s="18" t="s">
        <v>2645</v>
      </c>
      <c r="I178" s="19"/>
      <c r="J178" s="18"/>
    </row>
    <row r="179" customFormat="false" ht="32.8" hidden="false" customHeight="false" outlineLevel="0" collapsed="false">
      <c r="A179" s="18" t="s">
        <v>450</v>
      </c>
      <c r="B179" s="18" t="s">
        <v>45</v>
      </c>
      <c r="C179" s="18" t="s">
        <v>259</v>
      </c>
      <c r="D179" s="18" t="s">
        <v>411</v>
      </c>
      <c r="E179" s="19" t="s">
        <v>451</v>
      </c>
      <c r="F179" s="18" t="s">
        <v>2631</v>
      </c>
      <c r="G179" s="18" t="n">
        <v>0.06</v>
      </c>
      <c r="H179" s="18"/>
      <c r="I179" s="19" t="s">
        <v>2646</v>
      </c>
      <c r="J179" s="18"/>
    </row>
    <row r="180" customFormat="false" ht="32.8" hidden="false" customHeight="false" outlineLevel="0" collapsed="false">
      <c r="A180" s="18" t="s">
        <v>452</v>
      </c>
      <c r="B180" s="18" t="s">
        <v>45</v>
      </c>
      <c r="C180" s="18" t="s">
        <v>259</v>
      </c>
      <c r="D180" s="18" t="s">
        <v>411</v>
      </c>
      <c r="E180" s="19" t="s">
        <v>453</v>
      </c>
      <c r="F180" s="18" t="s">
        <v>2631</v>
      </c>
      <c r="G180" s="18" t="n">
        <v>0.35</v>
      </c>
      <c r="H180" s="18" t="s">
        <v>2625</v>
      </c>
      <c r="I180" s="19" t="s">
        <v>2646</v>
      </c>
      <c r="J180" s="18"/>
    </row>
    <row r="181" customFormat="false" ht="22.35" hidden="false" customHeight="false" outlineLevel="0" collapsed="false">
      <c r="A181" s="18" t="s">
        <v>454</v>
      </c>
      <c r="B181" s="18" t="s">
        <v>45</v>
      </c>
      <c r="C181" s="18" t="s">
        <v>259</v>
      </c>
      <c r="D181" s="18" t="s">
        <v>411</v>
      </c>
      <c r="E181" s="19" t="s">
        <v>455</v>
      </c>
      <c r="F181" s="18" t="s">
        <v>2627</v>
      </c>
      <c r="G181" s="18" t="n">
        <v>0</v>
      </c>
      <c r="H181" s="18"/>
      <c r="I181" s="19" t="s">
        <v>2635</v>
      </c>
      <c r="J181" s="18"/>
    </row>
    <row r="182" customFormat="false" ht="15" hidden="false" customHeight="false" outlineLevel="0" collapsed="false">
      <c r="A182" s="18" t="s">
        <v>456</v>
      </c>
      <c r="B182" s="18" t="s">
        <v>45</v>
      </c>
      <c r="C182" s="18" t="s">
        <v>259</v>
      </c>
      <c r="D182" s="18" t="s">
        <v>411</v>
      </c>
      <c r="E182" s="19" t="s">
        <v>457</v>
      </c>
      <c r="F182" s="18" t="s">
        <v>2627</v>
      </c>
      <c r="G182" s="18" t="n">
        <v>0.2</v>
      </c>
      <c r="H182" s="18"/>
      <c r="I182" s="19" t="s">
        <v>2634</v>
      </c>
      <c r="J182" s="18"/>
    </row>
    <row r="183" customFormat="false" ht="15" hidden="false" customHeight="false" outlineLevel="0" collapsed="false">
      <c r="A183" s="18" t="s">
        <v>458</v>
      </c>
      <c r="B183" s="18" t="s">
        <v>45</v>
      </c>
      <c r="C183" s="18" t="s">
        <v>259</v>
      </c>
      <c r="D183" s="18" t="s">
        <v>411</v>
      </c>
      <c r="E183" s="19" t="s">
        <v>459</v>
      </c>
      <c r="F183" s="18" t="s">
        <v>2630</v>
      </c>
      <c r="G183" s="18" t="n">
        <v>0.67</v>
      </c>
      <c r="H183" s="18" t="s">
        <v>2647</v>
      </c>
      <c r="I183" s="19"/>
      <c r="J183" s="18"/>
    </row>
    <row r="184" customFormat="false" ht="22.35" hidden="false" customHeight="false" outlineLevel="0" collapsed="false">
      <c r="A184" s="18" t="s">
        <v>460</v>
      </c>
      <c r="B184" s="18" t="s">
        <v>45</v>
      </c>
      <c r="C184" s="18" t="s">
        <v>259</v>
      </c>
      <c r="D184" s="18" t="s">
        <v>411</v>
      </c>
      <c r="E184" s="19" t="s">
        <v>461</v>
      </c>
      <c r="F184" s="18" t="s">
        <v>2631</v>
      </c>
      <c r="G184" s="18" t="n">
        <v>0.33</v>
      </c>
      <c r="H184" s="18" t="s">
        <v>2633</v>
      </c>
      <c r="I184" s="19" t="s">
        <v>2646</v>
      </c>
      <c r="J184" s="18"/>
    </row>
    <row r="185" customFormat="false" ht="22.35" hidden="false" customHeight="false" outlineLevel="0" collapsed="false">
      <c r="A185" s="18" t="s">
        <v>462</v>
      </c>
      <c r="B185" s="18" t="s">
        <v>45</v>
      </c>
      <c r="C185" s="18" t="s">
        <v>259</v>
      </c>
      <c r="D185" s="18" t="s">
        <v>411</v>
      </c>
      <c r="E185" s="19" t="s">
        <v>463</v>
      </c>
      <c r="F185" s="18" t="s">
        <v>2631</v>
      </c>
      <c r="G185" s="18" t="n">
        <v>0.08</v>
      </c>
      <c r="H185" s="18"/>
      <c r="I185" s="19" t="s">
        <v>2646</v>
      </c>
      <c r="J185" s="18"/>
    </row>
    <row r="186" customFormat="false" ht="22.35" hidden="false" customHeight="false" outlineLevel="0" collapsed="false">
      <c r="A186" s="18" t="s">
        <v>464</v>
      </c>
      <c r="B186" s="18" t="s">
        <v>45</v>
      </c>
      <c r="C186" s="18" t="s">
        <v>259</v>
      </c>
      <c r="D186" s="18" t="s">
        <v>411</v>
      </c>
      <c r="E186" s="19" t="s">
        <v>465</v>
      </c>
      <c r="F186" s="18" t="s">
        <v>2631</v>
      </c>
      <c r="G186" s="18" t="n">
        <v>0</v>
      </c>
      <c r="H186" s="18"/>
      <c r="I186" s="19" t="s">
        <v>2646</v>
      </c>
      <c r="J186" s="18"/>
    </row>
    <row r="187" customFormat="false" ht="22.35" hidden="false" customHeight="false" outlineLevel="0" collapsed="false">
      <c r="A187" s="18" t="s">
        <v>466</v>
      </c>
      <c r="B187" s="18" t="s">
        <v>45</v>
      </c>
      <c r="C187" s="18" t="s">
        <v>259</v>
      </c>
      <c r="D187" s="18" t="s">
        <v>158</v>
      </c>
      <c r="E187" s="19" t="s">
        <v>467</v>
      </c>
      <c r="F187" s="18" t="s">
        <v>2631</v>
      </c>
      <c r="G187" s="18" t="n">
        <v>0</v>
      </c>
      <c r="H187" s="18"/>
      <c r="I187" s="19" t="s">
        <v>2639</v>
      </c>
      <c r="J187" s="18"/>
    </row>
    <row r="188" customFormat="false" ht="22.35" hidden="false" customHeight="false" outlineLevel="0" collapsed="false">
      <c r="A188" s="18" t="s">
        <v>468</v>
      </c>
      <c r="B188" s="18" t="s">
        <v>45</v>
      </c>
      <c r="C188" s="18" t="s">
        <v>259</v>
      </c>
      <c r="D188" s="18" t="s">
        <v>164</v>
      </c>
      <c r="E188" s="19" t="s">
        <v>469</v>
      </c>
      <c r="F188" s="18" t="s">
        <v>2631</v>
      </c>
      <c r="G188" s="18" t="n">
        <v>0.18</v>
      </c>
      <c r="H188" s="18"/>
      <c r="I188" s="19" t="s">
        <v>2639</v>
      </c>
      <c r="J188" s="18"/>
    </row>
    <row r="189" customFormat="false" ht="22.35" hidden="false" customHeight="false" outlineLevel="0" collapsed="false">
      <c r="A189" s="18" t="s">
        <v>470</v>
      </c>
      <c r="B189" s="18" t="s">
        <v>45</v>
      </c>
      <c r="C189" s="18" t="s">
        <v>259</v>
      </c>
      <c r="D189" s="18" t="s">
        <v>164</v>
      </c>
      <c r="E189" s="19" t="s">
        <v>471</v>
      </c>
      <c r="F189" s="18" t="s">
        <v>2631</v>
      </c>
      <c r="G189" s="18" t="n">
        <v>0.15</v>
      </c>
      <c r="H189" s="18"/>
      <c r="I189" s="19" t="s">
        <v>2639</v>
      </c>
      <c r="J189" s="18"/>
    </row>
    <row r="190" customFormat="false" ht="22.35" hidden="false" customHeight="false" outlineLevel="0" collapsed="false">
      <c r="A190" s="18" t="s">
        <v>472</v>
      </c>
      <c r="B190" s="18" t="s">
        <v>45</v>
      </c>
      <c r="C190" s="18" t="s">
        <v>259</v>
      </c>
      <c r="D190" s="18" t="s">
        <v>164</v>
      </c>
      <c r="E190" s="19" t="s">
        <v>473</v>
      </c>
      <c r="F190" s="18" t="s">
        <v>2631</v>
      </c>
      <c r="G190" s="18" t="n">
        <v>0.11</v>
      </c>
      <c r="H190" s="18"/>
      <c r="I190" s="19" t="s">
        <v>2639</v>
      </c>
      <c r="J190" s="18"/>
    </row>
    <row r="191" customFormat="false" ht="22.35" hidden="false" customHeight="false" outlineLevel="0" collapsed="false">
      <c r="A191" s="18" t="s">
        <v>474</v>
      </c>
      <c r="B191" s="18" t="s">
        <v>45</v>
      </c>
      <c r="C191" s="18" t="s">
        <v>259</v>
      </c>
      <c r="D191" s="18" t="s">
        <v>164</v>
      </c>
      <c r="E191" s="19" t="s">
        <v>475</v>
      </c>
      <c r="F191" s="18" t="s">
        <v>2631</v>
      </c>
      <c r="G191" s="18" t="n">
        <v>0.11</v>
      </c>
      <c r="H191" s="18"/>
      <c r="I191" s="19" t="s">
        <v>2639</v>
      </c>
      <c r="J191" s="18"/>
    </row>
    <row r="192" customFormat="false" ht="15" hidden="false" customHeight="false" outlineLevel="0" collapsed="false">
      <c r="A192" s="18" t="s">
        <v>476</v>
      </c>
      <c r="B192" s="18" t="s">
        <v>45</v>
      </c>
      <c r="C192" s="18" t="s">
        <v>259</v>
      </c>
      <c r="D192" s="18" t="s">
        <v>478</v>
      </c>
      <c r="E192" s="19" t="s">
        <v>477</v>
      </c>
      <c r="F192" s="18" t="s">
        <v>2624</v>
      </c>
      <c r="G192" s="18" t="n">
        <v>1</v>
      </c>
      <c r="H192" s="18" t="s">
        <v>2625</v>
      </c>
      <c r="I192" s="19"/>
      <c r="J192" s="18"/>
    </row>
    <row r="193" customFormat="false" ht="22.35" hidden="false" customHeight="false" outlineLevel="0" collapsed="false">
      <c r="A193" s="18" t="s">
        <v>480</v>
      </c>
      <c r="B193" s="18" t="s">
        <v>45</v>
      </c>
      <c r="C193" s="18" t="s">
        <v>259</v>
      </c>
      <c r="D193" s="18" t="s">
        <v>478</v>
      </c>
      <c r="E193" s="19" t="s">
        <v>481</v>
      </c>
      <c r="F193" s="18" t="s">
        <v>2648</v>
      </c>
      <c r="G193" s="18" t="n">
        <v>0.05</v>
      </c>
      <c r="H193" s="18"/>
      <c r="I193" s="19" t="s">
        <v>2649</v>
      </c>
      <c r="J193" s="18"/>
    </row>
    <row r="194" customFormat="false" ht="32.8" hidden="false" customHeight="false" outlineLevel="0" collapsed="false">
      <c r="A194" s="18" t="s">
        <v>482</v>
      </c>
      <c r="B194" s="18" t="s">
        <v>45</v>
      </c>
      <c r="C194" s="18" t="s">
        <v>259</v>
      </c>
      <c r="D194" s="18" t="s">
        <v>478</v>
      </c>
      <c r="E194" s="19" t="s">
        <v>483</v>
      </c>
      <c r="F194" s="18" t="s">
        <v>2624</v>
      </c>
      <c r="G194" s="18" t="n">
        <v>0.89</v>
      </c>
      <c r="H194" s="18" t="s">
        <v>2633</v>
      </c>
      <c r="I194" s="19"/>
      <c r="J194" s="18"/>
    </row>
    <row r="195" customFormat="false" ht="32.8" hidden="false" customHeight="false" outlineLevel="0" collapsed="false">
      <c r="A195" s="18" t="s">
        <v>484</v>
      </c>
      <c r="B195" s="18" t="s">
        <v>45</v>
      </c>
      <c r="C195" s="18" t="s">
        <v>259</v>
      </c>
      <c r="D195" s="18" t="s">
        <v>478</v>
      </c>
      <c r="E195" s="19" t="s">
        <v>485</v>
      </c>
      <c r="F195" s="18" t="s">
        <v>2648</v>
      </c>
      <c r="G195" s="18" t="n">
        <v>0.13</v>
      </c>
      <c r="H195" s="18"/>
      <c r="I195" s="19" t="s">
        <v>2649</v>
      </c>
      <c r="J195" s="18"/>
    </row>
    <row r="196" customFormat="false" ht="32.8" hidden="false" customHeight="false" outlineLevel="0" collapsed="false">
      <c r="A196" s="18" t="s">
        <v>486</v>
      </c>
      <c r="B196" s="18" t="s">
        <v>45</v>
      </c>
      <c r="C196" s="18" t="s">
        <v>259</v>
      </c>
      <c r="D196" s="18" t="s">
        <v>478</v>
      </c>
      <c r="E196" s="19" t="s">
        <v>487</v>
      </c>
      <c r="F196" s="18" t="s">
        <v>2648</v>
      </c>
      <c r="G196" s="18" t="n">
        <v>0.11</v>
      </c>
      <c r="H196" s="18"/>
      <c r="I196" s="19" t="s">
        <v>2649</v>
      </c>
      <c r="J196" s="18"/>
    </row>
    <row r="197" customFormat="false" ht="32.8" hidden="false" customHeight="false" outlineLevel="0" collapsed="false">
      <c r="A197" s="18" t="s">
        <v>488</v>
      </c>
      <c r="B197" s="18" t="s">
        <v>45</v>
      </c>
      <c r="C197" s="18" t="s">
        <v>259</v>
      </c>
      <c r="D197" s="18" t="s">
        <v>478</v>
      </c>
      <c r="E197" s="19" t="s">
        <v>489</v>
      </c>
      <c r="F197" s="18" t="s">
        <v>2624</v>
      </c>
      <c r="G197" s="18" t="n">
        <v>0.92</v>
      </c>
      <c r="H197" s="18" t="s">
        <v>2633</v>
      </c>
      <c r="I197" s="19"/>
      <c r="J197" s="18"/>
    </row>
    <row r="198" customFormat="false" ht="15" hidden="false" customHeight="false" outlineLevel="0" collapsed="false">
      <c r="A198" s="18" t="s">
        <v>490</v>
      </c>
      <c r="B198" s="18" t="s">
        <v>45</v>
      </c>
      <c r="C198" s="18" t="s">
        <v>259</v>
      </c>
      <c r="D198" s="18" t="s">
        <v>478</v>
      </c>
      <c r="E198" s="19" t="s">
        <v>491</v>
      </c>
      <c r="F198" s="18" t="s">
        <v>2624</v>
      </c>
      <c r="G198" s="18" t="n">
        <v>1</v>
      </c>
      <c r="H198" s="18" t="s">
        <v>2650</v>
      </c>
      <c r="I198" s="19"/>
      <c r="J198" s="18"/>
    </row>
    <row r="199" customFormat="false" ht="22.35" hidden="false" customHeight="false" outlineLevel="0" collapsed="false">
      <c r="A199" s="18" t="s">
        <v>492</v>
      </c>
      <c r="B199" s="18" t="s">
        <v>45</v>
      </c>
      <c r="C199" s="18" t="s">
        <v>259</v>
      </c>
      <c r="D199" s="18" t="s">
        <v>478</v>
      </c>
      <c r="E199" s="19" t="s">
        <v>493</v>
      </c>
      <c r="F199" s="18" t="s">
        <v>2624</v>
      </c>
      <c r="G199" s="18" t="n">
        <v>1</v>
      </c>
      <c r="H199" s="18" t="s">
        <v>2650</v>
      </c>
      <c r="I199" s="19"/>
      <c r="J199" s="18"/>
    </row>
    <row r="200" customFormat="false" ht="15" hidden="false" customHeight="false" outlineLevel="0" collapsed="false">
      <c r="A200" s="18" t="s">
        <v>494</v>
      </c>
      <c r="B200" s="18" t="s">
        <v>45</v>
      </c>
      <c r="C200" s="18" t="s">
        <v>259</v>
      </c>
      <c r="D200" s="18" t="s">
        <v>478</v>
      </c>
      <c r="E200" s="19" t="s">
        <v>495</v>
      </c>
      <c r="F200" s="18" t="s">
        <v>2624</v>
      </c>
      <c r="G200" s="18" t="n">
        <v>1</v>
      </c>
      <c r="H200" s="18" t="s">
        <v>2650</v>
      </c>
      <c r="I200" s="19"/>
      <c r="J200" s="18"/>
    </row>
    <row r="201" customFormat="false" ht="22.35" hidden="false" customHeight="false" outlineLevel="0" collapsed="false">
      <c r="A201" s="18" t="s">
        <v>496</v>
      </c>
      <c r="B201" s="18" t="s">
        <v>45</v>
      </c>
      <c r="C201" s="18" t="s">
        <v>259</v>
      </c>
      <c r="D201" s="18" t="s">
        <v>478</v>
      </c>
      <c r="E201" s="19" t="s">
        <v>497</v>
      </c>
      <c r="F201" s="18" t="s">
        <v>2624</v>
      </c>
      <c r="G201" s="18" t="n">
        <v>1</v>
      </c>
      <c r="H201" s="18" t="s">
        <v>2650</v>
      </c>
      <c r="I201" s="19"/>
      <c r="J201" s="18"/>
    </row>
    <row r="202" customFormat="false" ht="15" hidden="false" customHeight="false" outlineLevel="0" collapsed="false">
      <c r="A202" s="18" t="s">
        <v>498</v>
      </c>
      <c r="B202" s="18" t="s">
        <v>45</v>
      </c>
      <c r="C202" s="18" t="s">
        <v>259</v>
      </c>
      <c r="D202" s="18" t="s">
        <v>478</v>
      </c>
      <c r="E202" s="19" t="s">
        <v>499</v>
      </c>
      <c r="F202" s="18" t="s">
        <v>2624</v>
      </c>
      <c r="G202" s="18" t="n">
        <v>1</v>
      </c>
      <c r="H202" s="18" t="s">
        <v>2650</v>
      </c>
      <c r="I202" s="19"/>
      <c r="J202" s="18"/>
    </row>
    <row r="203" customFormat="false" ht="22.35" hidden="false" customHeight="false" outlineLevel="0" collapsed="false">
      <c r="A203" s="18" t="s">
        <v>500</v>
      </c>
      <c r="B203" s="18" t="s">
        <v>45</v>
      </c>
      <c r="C203" s="18" t="s">
        <v>259</v>
      </c>
      <c r="D203" s="18" t="s">
        <v>478</v>
      </c>
      <c r="E203" s="19" t="s">
        <v>501</v>
      </c>
      <c r="F203" s="18" t="s">
        <v>2624</v>
      </c>
      <c r="G203" s="18" t="n">
        <v>1</v>
      </c>
      <c r="H203" s="18" t="s">
        <v>2650</v>
      </c>
      <c r="I203" s="19"/>
      <c r="J203" s="18"/>
    </row>
    <row r="204" customFormat="false" ht="22.35" hidden="false" customHeight="false" outlineLevel="0" collapsed="false">
      <c r="A204" s="18" t="s">
        <v>502</v>
      </c>
      <c r="B204" s="18" t="s">
        <v>45</v>
      </c>
      <c r="C204" s="18" t="s">
        <v>259</v>
      </c>
      <c r="D204" s="18" t="s">
        <v>478</v>
      </c>
      <c r="E204" s="19" t="s">
        <v>503</v>
      </c>
      <c r="F204" s="18" t="s">
        <v>2624</v>
      </c>
      <c r="G204" s="18" t="n">
        <v>1</v>
      </c>
      <c r="H204" s="18" t="s">
        <v>2650</v>
      </c>
      <c r="I204" s="19"/>
      <c r="J204" s="18"/>
    </row>
    <row r="205" customFormat="false" ht="22.35" hidden="false" customHeight="false" outlineLevel="0" collapsed="false">
      <c r="A205" s="18" t="s">
        <v>504</v>
      </c>
      <c r="B205" s="18" t="s">
        <v>45</v>
      </c>
      <c r="C205" s="18" t="s">
        <v>259</v>
      </c>
      <c r="D205" s="18" t="s">
        <v>478</v>
      </c>
      <c r="E205" s="19" t="s">
        <v>505</v>
      </c>
      <c r="F205" s="18" t="s">
        <v>2630</v>
      </c>
      <c r="G205" s="18" t="n">
        <v>0.55</v>
      </c>
      <c r="H205" s="18" t="s">
        <v>2650</v>
      </c>
      <c r="I205" s="19"/>
      <c r="J205" s="18"/>
    </row>
    <row r="206" customFormat="false" ht="15" hidden="false" customHeight="false" outlineLevel="0" collapsed="false">
      <c r="A206" s="18" t="s">
        <v>506</v>
      </c>
      <c r="B206" s="18" t="s">
        <v>47</v>
      </c>
      <c r="C206" s="18" t="s">
        <v>508</v>
      </c>
      <c r="D206" s="18" t="s">
        <v>158</v>
      </c>
      <c r="E206" s="19" t="s">
        <v>507</v>
      </c>
      <c r="F206" s="18" t="s">
        <v>2636</v>
      </c>
      <c r="G206" s="18" t="n">
        <v>0.25</v>
      </c>
      <c r="H206" s="18"/>
      <c r="I206" s="19" t="s">
        <v>2637</v>
      </c>
      <c r="J206" s="18"/>
    </row>
    <row r="207" customFormat="false" ht="15" hidden="false" customHeight="false" outlineLevel="0" collapsed="false">
      <c r="A207" s="18" t="s">
        <v>509</v>
      </c>
      <c r="B207" s="18" t="s">
        <v>47</v>
      </c>
      <c r="C207" s="18" t="s">
        <v>508</v>
      </c>
      <c r="D207" s="18" t="s">
        <v>158</v>
      </c>
      <c r="E207" s="19" t="s">
        <v>510</v>
      </c>
      <c r="F207" s="18" t="s">
        <v>2636</v>
      </c>
      <c r="G207" s="18" t="n">
        <v>0</v>
      </c>
      <c r="H207" s="18"/>
      <c r="I207" s="19" t="s">
        <v>2637</v>
      </c>
      <c r="J207" s="18"/>
    </row>
    <row r="208" customFormat="false" ht="15" hidden="false" customHeight="false" outlineLevel="0" collapsed="false">
      <c r="A208" s="18" t="s">
        <v>511</v>
      </c>
      <c r="B208" s="18" t="s">
        <v>47</v>
      </c>
      <c r="C208" s="18" t="s">
        <v>508</v>
      </c>
      <c r="D208" s="18" t="s">
        <v>93</v>
      </c>
      <c r="E208" s="19" t="s">
        <v>92</v>
      </c>
      <c r="F208" s="18" t="s">
        <v>2624</v>
      </c>
      <c r="G208" s="18" t="n">
        <v>1</v>
      </c>
      <c r="H208" s="18" t="s">
        <v>2625</v>
      </c>
      <c r="I208" s="19"/>
      <c r="J208" s="18"/>
    </row>
    <row r="209" customFormat="false" ht="15" hidden="false" customHeight="false" outlineLevel="0" collapsed="false">
      <c r="A209" s="18" t="s">
        <v>512</v>
      </c>
      <c r="B209" s="18" t="s">
        <v>47</v>
      </c>
      <c r="C209" s="18" t="s">
        <v>508</v>
      </c>
      <c r="D209" s="18" t="s">
        <v>93</v>
      </c>
      <c r="E209" s="19" t="s">
        <v>99</v>
      </c>
      <c r="F209" s="18" t="s">
        <v>2627</v>
      </c>
      <c r="G209" s="18" t="n">
        <v>0</v>
      </c>
      <c r="H209" s="18"/>
      <c r="I209" s="19" t="s">
        <v>2628</v>
      </c>
      <c r="J209" s="18"/>
    </row>
    <row r="210" customFormat="false" ht="15" hidden="false" customHeight="false" outlineLevel="0" collapsed="false">
      <c r="A210" s="18" t="s">
        <v>513</v>
      </c>
      <c r="B210" s="18" t="s">
        <v>47</v>
      </c>
      <c r="C210" s="18" t="s">
        <v>508</v>
      </c>
      <c r="D210" s="18" t="s">
        <v>93</v>
      </c>
      <c r="E210" s="19" t="s">
        <v>514</v>
      </c>
      <c r="F210" s="18" t="s">
        <v>2627</v>
      </c>
      <c r="G210" s="18" t="n">
        <v>0</v>
      </c>
      <c r="H210" s="18"/>
      <c r="I210" s="19" t="s">
        <v>2628</v>
      </c>
      <c r="J210" s="18"/>
    </row>
    <row r="211" customFormat="false" ht="15" hidden="false" customHeight="false" outlineLevel="0" collapsed="false">
      <c r="A211" s="18" t="s">
        <v>515</v>
      </c>
      <c r="B211" s="18" t="s">
        <v>47</v>
      </c>
      <c r="C211" s="18" t="s">
        <v>508</v>
      </c>
      <c r="D211" s="18" t="s">
        <v>93</v>
      </c>
      <c r="E211" s="19" t="s">
        <v>516</v>
      </c>
      <c r="F211" s="18" t="s">
        <v>2627</v>
      </c>
      <c r="G211" s="18" t="n">
        <v>0</v>
      </c>
      <c r="H211" s="18"/>
      <c r="I211" s="19" t="s">
        <v>2628</v>
      </c>
      <c r="J211" s="18"/>
    </row>
    <row r="212" customFormat="false" ht="15" hidden="false" customHeight="false" outlineLevel="0" collapsed="false">
      <c r="A212" s="18" t="s">
        <v>517</v>
      </c>
      <c r="B212" s="18" t="s">
        <v>47</v>
      </c>
      <c r="C212" s="18" t="s">
        <v>508</v>
      </c>
      <c r="D212" s="18" t="s">
        <v>93</v>
      </c>
      <c r="E212" s="19" t="s">
        <v>518</v>
      </c>
      <c r="F212" s="18" t="s">
        <v>2627</v>
      </c>
      <c r="G212" s="18" t="n">
        <v>0</v>
      </c>
      <c r="H212" s="18"/>
      <c r="I212" s="19" t="s">
        <v>2628</v>
      </c>
      <c r="J212" s="18"/>
    </row>
    <row r="213" customFormat="false" ht="22.35" hidden="false" customHeight="false" outlineLevel="0" collapsed="false">
      <c r="A213" s="18" t="s">
        <v>519</v>
      </c>
      <c r="B213" s="18" t="s">
        <v>47</v>
      </c>
      <c r="C213" s="18" t="s">
        <v>508</v>
      </c>
      <c r="D213" s="18" t="s">
        <v>93</v>
      </c>
      <c r="E213" s="19" t="s">
        <v>520</v>
      </c>
      <c r="F213" s="18" t="s">
        <v>2624</v>
      </c>
      <c r="G213" s="18" t="n">
        <v>1</v>
      </c>
      <c r="H213" s="18" t="s">
        <v>2625</v>
      </c>
      <c r="I213" s="19"/>
      <c r="J213" s="18"/>
    </row>
    <row r="214" customFormat="false" ht="22.35" hidden="false" customHeight="false" outlineLevel="0" collapsed="false">
      <c r="A214" s="18" t="s">
        <v>521</v>
      </c>
      <c r="B214" s="18" t="s">
        <v>47</v>
      </c>
      <c r="C214" s="18" t="s">
        <v>508</v>
      </c>
      <c r="D214" s="18" t="s">
        <v>93</v>
      </c>
      <c r="E214" s="19" t="s">
        <v>272</v>
      </c>
      <c r="F214" s="18" t="s">
        <v>2627</v>
      </c>
      <c r="G214" s="18" t="n">
        <v>0.31</v>
      </c>
      <c r="H214" s="18" t="s">
        <v>2625</v>
      </c>
      <c r="I214" s="19" t="s">
        <v>2628</v>
      </c>
      <c r="J214" s="18"/>
    </row>
    <row r="215" customFormat="false" ht="53.7" hidden="false" customHeight="false" outlineLevel="0" collapsed="false">
      <c r="A215" s="18" t="s">
        <v>522</v>
      </c>
      <c r="B215" s="18" t="s">
        <v>47</v>
      </c>
      <c r="C215" s="18" t="s">
        <v>508</v>
      </c>
      <c r="D215" s="18" t="s">
        <v>93</v>
      </c>
      <c r="E215" s="19" t="s">
        <v>523</v>
      </c>
      <c r="F215" s="18" t="s">
        <v>2627</v>
      </c>
      <c r="G215" s="18" t="n">
        <v>0.8</v>
      </c>
      <c r="H215" s="18" t="s">
        <v>2651</v>
      </c>
      <c r="I215" s="19" t="s">
        <v>2628</v>
      </c>
      <c r="J215" s="18"/>
    </row>
    <row r="216" customFormat="false" ht="15" hidden="false" customHeight="false" outlineLevel="0" collapsed="false">
      <c r="A216" s="18" t="s">
        <v>524</v>
      </c>
      <c r="B216" s="18" t="s">
        <v>47</v>
      </c>
      <c r="C216" s="18" t="s">
        <v>508</v>
      </c>
      <c r="D216" s="18" t="s">
        <v>93</v>
      </c>
      <c r="E216" s="19" t="s">
        <v>525</v>
      </c>
      <c r="F216" s="18" t="s">
        <v>2624</v>
      </c>
      <c r="G216" s="18" t="n">
        <v>1</v>
      </c>
      <c r="H216" s="18" t="s">
        <v>2625</v>
      </c>
      <c r="I216" s="19"/>
      <c r="J216" s="18"/>
    </row>
    <row r="217" customFormat="false" ht="15" hidden="false" customHeight="false" outlineLevel="0" collapsed="false">
      <c r="A217" s="18" t="s">
        <v>526</v>
      </c>
      <c r="B217" s="18" t="s">
        <v>47</v>
      </c>
      <c r="C217" s="18" t="s">
        <v>508</v>
      </c>
      <c r="D217" s="18" t="s">
        <v>93</v>
      </c>
      <c r="E217" s="19" t="s">
        <v>115</v>
      </c>
      <c r="F217" s="18" t="s">
        <v>2627</v>
      </c>
      <c r="G217" s="18" t="n">
        <v>0</v>
      </c>
      <c r="H217" s="18"/>
      <c r="I217" s="19" t="s">
        <v>2628</v>
      </c>
      <c r="J217" s="18"/>
    </row>
    <row r="218" customFormat="false" ht="15" hidden="false" customHeight="false" outlineLevel="0" collapsed="false">
      <c r="A218" s="18" t="s">
        <v>527</v>
      </c>
      <c r="B218" s="18" t="s">
        <v>47</v>
      </c>
      <c r="C218" s="18" t="s">
        <v>508</v>
      </c>
      <c r="D218" s="18" t="s">
        <v>93</v>
      </c>
      <c r="E218" s="19" t="s">
        <v>117</v>
      </c>
      <c r="F218" s="18" t="s">
        <v>2627</v>
      </c>
      <c r="G218" s="18" t="n">
        <v>0</v>
      </c>
      <c r="H218" s="18"/>
      <c r="I218" s="19" t="s">
        <v>2628</v>
      </c>
      <c r="J218" s="18"/>
    </row>
    <row r="219" customFormat="false" ht="15" hidden="false" customHeight="false" outlineLevel="0" collapsed="false">
      <c r="A219" s="18" t="s">
        <v>528</v>
      </c>
      <c r="B219" s="18" t="s">
        <v>47</v>
      </c>
      <c r="C219" s="18" t="s">
        <v>508</v>
      </c>
      <c r="D219" s="18" t="s">
        <v>93</v>
      </c>
      <c r="E219" s="19" t="s">
        <v>529</v>
      </c>
      <c r="F219" s="18" t="s">
        <v>2627</v>
      </c>
      <c r="G219" s="18" t="n">
        <v>0.1</v>
      </c>
      <c r="H219" s="18"/>
      <c r="I219" s="19" t="s">
        <v>2628</v>
      </c>
      <c r="J219" s="18"/>
    </row>
    <row r="220" customFormat="false" ht="15" hidden="false" customHeight="false" outlineLevel="0" collapsed="false">
      <c r="A220" s="18" t="s">
        <v>530</v>
      </c>
      <c r="B220" s="18" t="s">
        <v>47</v>
      </c>
      <c r="C220" s="18" t="s">
        <v>508</v>
      </c>
      <c r="D220" s="18" t="s">
        <v>93</v>
      </c>
      <c r="E220" s="19" t="s">
        <v>531</v>
      </c>
      <c r="F220" s="18" t="s">
        <v>2627</v>
      </c>
      <c r="G220" s="18" t="n">
        <v>0.4</v>
      </c>
      <c r="H220" s="18" t="s">
        <v>2625</v>
      </c>
      <c r="I220" s="19" t="s">
        <v>2628</v>
      </c>
      <c r="J220" s="18"/>
    </row>
    <row r="221" customFormat="false" ht="15" hidden="false" customHeight="false" outlineLevel="0" collapsed="false">
      <c r="A221" s="18" t="s">
        <v>532</v>
      </c>
      <c r="B221" s="18" t="s">
        <v>47</v>
      </c>
      <c r="C221" s="18" t="s">
        <v>508</v>
      </c>
      <c r="D221" s="18" t="s">
        <v>93</v>
      </c>
      <c r="E221" s="19" t="s">
        <v>533</v>
      </c>
      <c r="F221" s="18" t="s">
        <v>2627</v>
      </c>
      <c r="G221" s="18" t="n">
        <v>0.17</v>
      </c>
      <c r="H221" s="18"/>
      <c r="I221" s="19" t="s">
        <v>2628</v>
      </c>
      <c r="J221" s="18"/>
    </row>
    <row r="222" customFormat="false" ht="15" hidden="false" customHeight="false" outlineLevel="0" collapsed="false">
      <c r="A222" s="18" t="s">
        <v>534</v>
      </c>
      <c r="B222" s="18" t="s">
        <v>47</v>
      </c>
      <c r="C222" s="18" t="s">
        <v>508</v>
      </c>
      <c r="D222" s="18" t="s">
        <v>93</v>
      </c>
      <c r="E222" s="19" t="s">
        <v>535</v>
      </c>
      <c r="F222" s="18" t="s">
        <v>2624</v>
      </c>
      <c r="G222" s="18" t="n">
        <v>1</v>
      </c>
      <c r="H222" s="18" t="s">
        <v>2625</v>
      </c>
      <c r="I222" s="19"/>
      <c r="J222" s="18"/>
    </row>
    <row r="223" customFormat="false" ht="15" hidden="false" customHeight="false" outlineLevel="0" collapsed="false">
      <c r="A223" s="18" t="s">
        <v>536</v>
      </c>
      <c r="B223" s="18" t="s">
        <v>47</v>
      </c>
      <c r="C223" s="18" t="s">
        <v>508</v>
      </c>
      <c r="D223" s="18" t="s">
        <v>93</v>
      </c>
      <c r="E223" s="19" t="s">
        <v>537</v>
      </c>
      <c r="F223" s="18" t="s">
        <v>2624</v>
      </c>
      <c r="G223" s="18" t="n">
        <v>1</v>
      </c>
      <c r="H223" s="18" t="s">
        <v>2625</v>
      </c>
      <c r="I223" s="19"/>
      <c r="J223" s="18"/>
    </row>
    <row r="224" customFormat="false" ht="15" hidden="false" customHeight="false" outlineLevel="0" collapsed="false">
      <c r="A224" s="18" t="s">
        <v>538</v>
      </c>
      <c r="B224" s="18" t="s">
        <v>47</v>
      </c>
      <c r="C224" s="18" t="s">
        <v>508</v>
      </c>
      <c r="D224" s="18" t="s">
        <v>93</v>
      </c>
      <c r="E224" s="19" t="s">
        <v>539</v>
      </c>
      <c r="F224" s="18" t="s">
        <v>2627</v>
      </c>
      <c r="G224" s="18" t="n">
        <v>0</v>
      </c>
      <c r="H224" s="18"/>
      <c r="I224" s="19" t="s">
        <v>2628</v>
      </c>
      <c r="J224" s="18"/>
    </row>
    <row r="225" customFormat="false" ht="15" hidden="false" customHeight="false" outlineLevel="0" collapsed="false">
      <c r="A225" s="18" t="s">
        <v>540</v>
      </c>
      <c r="B225" s="18" t="s">
        <v>47</v>
      </c>
      <c r="C225" s="18" t="s">
        <v>508</v>
      </c>
      <c r="D225" s="18" t="s">
        <v>93</v>
      </c>
      <c r="E225" s="19" t="s">
        <v>291</v>
      </c>
      <c r="F225" s="18" t="s">
        <v>2627</v>
      </c>
      <c r="G225" s="18" t="n">
        <v>0.17</v>
      </c>
      <c r="H225" s="18"/>
      <c r="I225" s="19" t="s">
        <v>2628</v>
      </c>
      <c r="J225" s="18"/>
    </row>
    <row r="226" customFormat="false" ht="15" hidden="false" customHeight="false" outlineLevel="0" collapsed="false">
      <c r="A226" s="18" t="s">
        <v>541</v>
      </c>
      <c r="B226" s="18" t="s">
        <v>47</v>
      </c>
      <c r="C226" s="18" t="s">
        <v>508</v>
      </c>
      <c r="D226" s="18" t="s">
        <v>93</v>
      </c>
      <c r="E226" s="19" t="s">
        <v>130</v>
      </c>
      <c r="F226" s="18" t="s">
        <v>2627</v>
      </c>
      <c r="G226" s="18" t="n">
        <v>0</v>
      </c>
      <c r="H226" s="18"/>
      <c r="I226" s="19" t="s">
        <v>2628</v>
      </c>
      <c r="J226" s="18"/>
    </row>
    <row r="227" customFormat="false" ht="22.35" hidden="false" customHeight="false" outlineLevel="0" collapsed="false">
      <c r="A227" s="18" t="s">
        <v>542</v>
      </c>
      <c r="B227" s="18" t="s">
        <v>47</v>
      </c>
      <c r="C227" s="18" t="s">
        <v>508</v>
      </c>
      <c r="D227" s="18" t="s">
        <v>93</v>
      </c>
      <c r="E227" s="19" t="s">
        <v>543</v>
      </c>
      <c r="F227" s="18" t="s">
        <v>2627</v>
      </c>
      <c r="G227" s="18" t="n">
        <v>0.22</v>
      </c>
      <c r="H227" s="18"/>
      <c r="I227" s="19" t="s">
        <v>2628</v>
      </c>
      <c r="J227" s="18"/>
    </row>
    <row r="228" customFormat="false" ht="22.35" hidden="false" customHeight="false" outlineLevel="0" collapsed="false">
      <c r="A228" s="18" t="s">
        <v>544</v>
      </c>
      <c r="B228" s="18" t="s">
        <v>47</v>
      </c>
      <c r="C228" s="18" t="s">
        <v>508</v>
      </c>
      <c r="D228" s="18" t="s">
        <v>93</v>
      </c>
      <c r="E228" s="19" t="s">
        <v>545</v>
      </c>
      <c r="F228" s="18" t="s">
        <v>2627</v>
      </c>
      <c r="G228" s="18" t="n">
        <v>0.26</v>
      </c>
      <c r="H228" s="18"/>
      <c r="I228" s="19" t="s">
        <v>2628</v>
      </c>
      <c r="J228" s="18"/>
    </row>
    <row r="229" customFormat="false" ht="15" hidden="false" customHeight="false" outlineLevel="0" collapsed="false">
      <c r="A229" s="18" t="s">
        <v>546</v>
      </c>
      <c r="B229" s="18" t="s">
        <v>47</v>
      </c>
      <c r="C229" s="18" t="s">
        <v>508</v>
      </c>
      <c r="D229" s="18" t="s">
        <v>93</v>
      </c>
      <c r="E229" s="19" t="s">
        <v>547</v>
      </c>
      <c r="F229" s="18" t="s">
        <v>2627</v>
      </c>
      <c r="G229" s="18" t="n">
        <v>0</v>
      </c>
      <c r="H229" s="18"/>
      <c r="I229" s="19" t="s">
        <v>2628</v>
      </c>
      <c r="J229" s="18"/>
    </row>
    <row r="230" customFormat="false" ht="15" hidden="false" customHeight="false" outlineLevel="0" collapsed="false">
      <c r="A230" s="18" t="s">
        <v>548</v>
      </c>
      <c r="B230" s="18" t="s">
        <v>47</v>
      </c>
      <c r="C230" s="18" t="s">
        <v>508</v>
      </c>
      <c r="D230" s="18" t="s">
        <v>93</v>
      </c>
      <c r="E230" s="19" t="s">
        <v>301</v>
      </c>
      <c r="F230" s="18" t="s">
        <v>2627</v>
      </c>
      <c r="G230" s="18" t="n">
        <v>0.25</v>
      </c>
      <c r="H230" s="18"/>
      <c r="I230" s="19" t="s">
        <v>2628</v>
      </c>
      <c r="J230" s="18"/>
    </row>
    <row r="231" customFormat="false" ht="22.35" hidden="false" customHeight="false" outlineLevel="0" collapsed="false">
      <c r="A231" s="18" t="s">
        <v>549</v>
      </c>
      <c r="B231" s="18" t="s">
        <v>47</v>
      </c>
      <c r="C231" s="18" t="s">
        <v>508</v>
      </c>
      <c r="D231" s="18" t="s">
        <v>93</v>
      </c>
      <c r="E231" s="19" t="s">
        <v>550</v>
      </c>
      <c r="F231" s="18" t="s">
        <v>2627</v>
      </c>
      <c r="G231" s="18" t="n">
        <v>0</v>
      </c>
      <c r="H231" s="18"/>
      <c r="I231" s="19" t="s">
        <v>2628</v>
      </c>
      <c r="J231" s="18"/>
    </row>
    <row r="232" customFormat="false" ht="15" hidden="false" customHeight="false" outlineLevel="0" collapsed="false">
      <c r="A232" s="18" t="s">
        <v>551</v>
      </c>
      <c r="B232" s="18" t="s">
        <v>47</v>
      </c>
      <c r="C232" s="18" t="s">
        <v>508</v>
      </c>
      <c r="D232" s="18" t="s">
        <v>93</v>
      </c>
      <c r="E232" s="19" t="s">
        <v>552</v>
      </c>
      <c r="F232" s="18" t="s">
        <v>2627</v>
      </c>
      <c r="G232" s="18" t="n">
        <v>0.43</v>
      </c>
      <c r="H232" s="18" t="s">
        <v>2625</v>
      </c>
      <c r="I232" s="19" t="s">
        <v>2628</v>
      </c>
      <c r="J232" s="18"/>
    </row>
    <row r="233" customFormat="false" ht="22.35" hidden="false" customHeight="false" outlineLevel="0" collapsed="false">
      <c r="A233" s="18" t="s">
        <v>553</v>
      </c>
      <c r="B233" s="18" t="s">
        <v>47</v>
      </c>
      <c r="C233" s="18" t="s">
        <v>508</v>
      </c>
      <c r="D233" s="18" t="s">
        <v>93</v>
      </c>
      <c r="E233" s="19" t="s">
        <v>554</v>
      </c>
      <c r="F233" s="18" t="s">
        <v>2627</v>
      </c>
      <c r="G233" s="18" t="n">
        <v>0.05</v>
      </c>
      <c r="H233" s="18"/>
      <c r="I233" s="19" t="s">
        <v>2628</v>
      </c>
      <c r="J233" s="18"/>
    </row>
    <row r="234" customFormat="false" ht="15" hidden="false" customHeight="false" outlineLevel="0" collapsed="false">
      <c r="A234" s="18" t="s">
        <v>555</v>
      </c>
      <c r="B234" s="18" t="s">
        <v>47</v>
      </c>
      <c r="C234" s="18" t="s">
        <v>508</v>
      </c>
      <c r="D234" s="18" t="s">
        <v>93</v>
      </c>
      <c r="E234" s="19" t="s">
        <v>556</v>
      </c>
      <c r="F234" s="18" t="s">
        <v>2627</v>
      </c>
      <c r="G234" s="18" t="n">
        <v>0.23</v>
      </c>
      <c r="H234" s="18"/>
      <c r="I234" s="19" t="s">
        <v>2628</v>
      </c>
      <c r="J234" s="18"/>
    </row>
    <row r="235" customFormat="false" ht="15" hidden="false" customHeight="false" outlineLevel="0" collapsed="false">
      <c r="A235" s="18" t="s">
        <v>557</v>
      </c>
      <c r="B235" s="18" t="s">
        <v>47</v>
      </c>
      <c r="C235" s="18" t="s">
        <v>508</v>
      </c>
      <c r="D235" s="18" t="s">
        <v>93</v>
      </c>
      <c r="E235" s="19" t="s">
        <v>558</v>
      </c>
      <c r="F235" s="18" t="s">
        <v>2627</v>
      </c>
      <c r="G235" s="18" t="n">
        <v>0.62</v>
      </c>
      <c r="H235" s="18" t="s">
        <v>2625</v>
      </c>
      <c r="I235" s="19" t="s">
        <v>2628</v>
      </c>
      <c r="J235" s="18"/>
    </row>
    <row r="236" customFormat="false" ht="15" hidden="false" customHeight="false" outlineLevel="0" collapsed="false">
      <c r="A236" s="18" t="s">
        <v>559</v>
      </c>
      <c r="B236" s="18" t="s">
        <v>47</v>
      </c>
      <c r="C236" s="18" t="s">
        <v>508</v>
      </c>
      <c r="D236" s="18" t="s">
        <v>93</v>
      </c>
      <c r="E236" s="19" t="s">
        <v>311</v>
      </c>
      <c r="F236" s="18" t="s">
        <v>2627</v>
      </c>
      <c r="G236" s="18" t="n">
        <v>0</v>
      </c>
      <c r="H236" s="18"/>
      <c r="I236" s="19" t="s">
        <v>2628</v>
      </c>
      <c r="J236" s="18"/>
    </row>
    <row r="237" customFormat="false" ht="22.35" hidden="false" customHeight="false" outlineLevel="0" collapsed="false">
      <c r="A237" s="18" t="s">
        <v>560</v>
      </c>
      <c r="B237" s="18" t="s">
        <v>47</v>
      </c>
      <c r="C237" s="18" t="s">
        <v>508</v>
      </c>
      <c r="D237" s="18" t="s">
        <v>93</v>
      </c>
      <c r="E237" s="19" t="s">
        <v>561</v>
      </c>
      <c r="F237" s="18" t="s">
        <v>2627</v>
      </c>
      <c r="G237" s="18" t="n">
        <v>0.04</v>
      </c>
      <c r="H237" s="18"/>
      <c r="I237" s="19" t="s">
        <v>2628</v>
      </c>
      <c r="J237" s="18"/>
    </row>
    <row r="238" customFormat="false" ht="15" hidden="false" customHeight="false" outlineLevel="0" collapsed="false">
      <c r="A238" s="18" t="s">
        <v>562</v>
      </c>
      <c r="B238" s="18" t="s">
        <v>47</v>
      </c>
      <c r="C238" s="18" t="s">
        <v>508</v>
      </c>
      <c r="D238" s="18" t="s">
        <v>93</v>
      </c>
      <c r="E238" s="19" t="s">
        <v>552</v>
      </c>
      <c r="F238" s="18" t="s">
        <v>2627</v>
      </c>
      <c r="G238" s="18" t="n">
        <v>0.43</v>
      </c>
      <c r="H238" s="18" t="s">
        <v>2625</v>
      </c>
      <c r="I238" s="19" t="s">
        <v>2628</v>
      </c>
      <c r="J238" s="18"/>
    </row>
    <row r="239" customFormat="false" ht="22.35" hidden="false" customHeight="false" outlineLevel="0" collapsed="false">
      <c r="A239" s="18" t="s">
        <v>563</v>
      </c>
      <c r="B239" s="18" t="s">
        <v>47</v>
      </c>
      <c r="C239" s="18" t="s">
        <v>508</v>
      </c>
      <c r="D239" s="18" t="s">
        <v>93</v>
      </c>
      <c r="E239" s="19" t="s">
        <v>564</v>
      </c>
      <c r="F239" s="18" t="s">
        <v>2627</v>
      </c>
      <c r="G239" s="18" t="n">
        <v>0.09</v>
      </c>
      <c r="H239" s="18"/>
      <c r="I239" s="19" t="s">
        <v>2628</v>
      </c>
      <c r="J239" s="18"/>
    </row>
    <row r="240" customFormat="false" ht="15" hidden="false" customHeight="false" outlineLevel="0" collapsed="false">
      <c r="A240" s="18" t="s">
        <v>565</v>
      </c>
      <c r="B240" s="18" t="s">
        <v>47</v>
      </c>
      <c r="C240" s="18" t="s">
        <v>508</v>
      </c>
      <c r="D240" s="18" t="s">
        <v>93</v>
      </c>
      <c r="E240" s="19" t="s">
        <v>566</v>
      </c>
      <c r="F240" s="18" t="s">
        <v>2627</v>
      </c>
      <c r="G240" s="18" t="n">
        <v>0</v>
      </c>
      <c r="H240" s="18"/>
      <c r="I240" s="19" t="s">
        <v>2628</v>
      </c>
      <c r="J240" s="18"/>
    </row>
    <row r="241" customFormat="false" ht="32.8" hidden="false" customHeight="false" outlineLevel="0" collapsed="false">
      <c r="A241" s="18" t="s">
        <v>567</v>
      </c>
      <c r="B241" s="18" t="s">
        <v>47</v>
      </c>
      <c r="C241" s="18" t="s">
        <v>508</v>
      </c>
      <c r="D241" s="18" t="s">
        <v>93</v>
      </c>
      <c r="E241" s="19" t="s">
        <v>568</v>
      </c>
      <c r="F241" s="18" t="s">
        <v>2627</v>
      </c>
      <c r="G241" s="18" t="n">
        <v>0.58</v>
      </c>
      <c r="H241" s="18" t="s">
        <v>2651</v>
      </c>
      <c r="I241" s="19" t="s">
        <v>2628</v>
      </c>
      <c r="J241" s="18"/>
    </row>
    <row r="242" customFormat="false" ht="22.35" hidden="false" customHeight="false" outlineLevel="0" collapsed="false">
      <c r="A242" s="18" t="s">
        <v>569</v>
      </c>
      <c r="B242" s="18" t="s">
        <v>47</v>
      </c>
      <c r="C242" s="18" t="s">
        <v>508</v>
      </c>
      <c r="D242" s="18" t="s">
        <v>93</v>
      </c>
      <c r="E242" s="19" t="s">
        <v>570</v>
      </c>
      <c r="F242" s="18" t="s">
        <v>2624</v>
      </c>
      <c r="G242" s="18" t="n">
        <v>1</v>
      </c>
      <c r="H242" s="18" t="s">
        <v>2651</v>
      </c>
      <c r="I242" s="19"/>
      <c r="J242" s="18"/>
    </row>
    <row r="243" customFormat="false" ht="22.35" hidden="false" customHeight="false" outlineLevel="0" collapsed="false">
      <c r="A243" s="18" t="s">
        <v>571</v>
      </c>
      <c r="B243" s="18" t="s">
        <v>47</v>
      </c>
      <c r="C243" s="18" t="s">
        <v>508</v>
      </c>
      <c r="D243" s="18" t="s">
        <v>84</v>
      </c>
      <c r="E243" s="19" t="s">
        <v>331</v>
      </c>
      <c r="F243" s="18" t="s">
        <v>2631</v>
      </c>
      <c r="G243" s="18" t="n">
        <v>0.17</v>
      </c>
      <c r="H243" s="18"/>
      <c r="I243" s="19" t="s">
        <v>2639</v>
      </c>
      <c r="J243" s="18"/>
    </row>
    <row r="244" customFormat="false" ht="22.35" hidden="false" customHeight="false" outlineLevel="0" collapsed="false">
      <c r="A244" s="18" t="s">
        <v>572</v>
      </c>
      <c r="B244" s="18" t="s">
        <v>47</v>
      </c>
      <c r="C244" s="18" t="s">
        <v>508</v>
      </c>
      <c r="D244" s="18" t="s">
        <v>84</v>
      </c>
      <c r="E244" s="19" t="s">
        <v>573</v>
      </c>
      <c r="F244" s="18" t="s">
        <v>2631</v>
      </c>
      <c r="G244" s="18" t="n">
        <v>0.23</v>
      </c>
      <c r="H244" s="18"/>
      <c r="I244" s="19" t="s">
        <v>2639</v>
      </c>
      <c r="J244" s="18"/>
    </row>
    <row r="245" customFormat="false" ht="22.35" hidden="false" customHeight="false" outlineLevel="0" collapsed="false">
      <c r="A245" s="18" t="s">
        <v>574</v>
      </c>
      <c r="B245" s="18" t="s">
        <v>47</v>
      </c>
      <c r="C245" s="18" t="s">
        <v>508</v>
      </c>
      <c r="D245" s="18" t="s">
        <v>84</v>
      </c>
      <c r="E245" s="19" t="s">
        <v>575</v>
      </c>
      <c r="F245" s="18" t="s">
        <v>2631</v>
      </c>
      <c r="G245" s="18" t="n">
        <v>0.25</v>
      </c>
      <c r="H245" s="18"/>
      <c r="I245" s="19" t="s">
        <v>2639</v>
      </c>
      <c r="J245" s="18"/>
    </row>
    <row r="246" customFormat="false" ht="22.35" hidden="false" customHeight="false" outlineLevel="0" collapsed="false">
      <c r="A246" s="18" t="s">
        <v>576</v>
      </c>
      <c r="B246" s="18" t="s">
        <v>47</v>
      </c>
      <c r="C246" s="18" t="s">
        <v>508</v>
      </c>
      <c r="D246" s="18" t="s">
        <v>84</v>
      </c>
      <c r="E246" s="19" t="s">
        <v>577</v>
      </c>
      <c r="F246" s="18" t="s">
        <v>2631</v>
      </c>
      <c r="G246" s="18" t="n">
        <v>0.21</v>
      </c>
      <c r="H246" s="18"/>
      <c r="I246" s="19" t="s">
        <v>2639</v>
      </c>
      <c r="J246" s="18"/>
    </row>
    <row r="247" customFormat="false" ht="22.35" hidden="false" customHeight="false" outlineLevel="0" collapsed="false">
      <c r="A247" s="18" t="s">
        <v>578</v>
      </c>
      <c r="B247" s="18" t="s">
        <v>47</v>
      </c>
      <c r="C247" s="18" t="s">
        <v>508</v>
      </c>
      <c r="D247" s="18" t="s">
        <v>84</v>
      </c>
      <c r="E247" s="19" t="s">
        <v>339</v>
      </c>
      <c r="F247" s="18" t="s">
        <v>2631</v>
      </c>
      <c r="G247" s="18" t="n">
        <v>0.5</v>
      </c>
      <c r="H247" s="18" t="s">
        <v>2625</v>
      </c>
      <c r="I247" s="19" t="s">
        <v>2639</v>
      </c>
      <c r="J247" s="18"/>
    </row>
    <row r="248" customFormat="false" ht="22.35" hidden="false" customHeight="false" outlineLevel="0" collapsed="false">
      <c r="A248" s="18" t="s">
        <v>579</v>
      </c>
      <c r="B248" s="18" t="s">
        <v>47</v>
      </c>
      <c r="C248" s="18" t="s">
        <v>508</v>
      </c>
      <c r="D248" s="18" t="s">
        <v>84</v>
      </c>
      <c r="E248" s="19" t="s">
        <v>580</v>
      </c>
      <c r="F248" s="18" t="s">
        <v>2631</v>
      </c>
      <c r="G248" s="18" t="n">
        <v>0.25</v>
      </c>
      <c r="H248" s="18"/>
      <c r="I248" s="19" t="s">
        <v>2639</v>
      </c>
      <c r="J248" s="18"/>
    </row>
    <row r="249" customFormat="false" ht="15" hidden="false" customHeight="false" outlineLevel="0" collapsed="false">
      <c r="A249" s="18" t="s">
        <v>581</v>
      </c>
      <c r="B249" s="18" t="s">
        <v>47</v>
      </c>
      <c r="C249" s="18" t="s">
        <v>508</v>
      </c>
      <c r="D249" s="18" t="s">
        <v>158</v>
      </c>
      <c r="E249" s="19" t="s">
        <v>582</v>
      </c>
      <c r="F249" s="18" t="s">
        <v>2636</v>
      </c>
      <c r="G249" s="18" t="n">
        <v>0.43</v>
      </c>
      <c r="H249" s="18" t="s">
        <v>2625</v>
      </c>
      <c r="I249" s="19" t="s">
        <v>2637</v>
      </c>
      <c r="J249" s="18"/>
    </row>
    <row r="250" customFormat="false" ht="15" hidden="false" customHeight="false" outlineLevel="0" collapsed="false">
      <c r="A250" s="18" t="s">
        <v>583</v>
      </c>
      <c r="B250" s="18" t="s">
        <v>47</v>
      </c>
      <c r="C250" s="18" t="s">
        <v>508</v>
      </c>
      <c r="D250" s="18" t="s">
        <v>158</v>
      </c>
      <c r="E250" s="19" t="s">
        <v>584</v>
      </c>
      <c r="F250" s="18" t="s">
        <v>2624</v>
      </c>
      <c r="G250" s="18" t="n">
        <v>1</v>
      </c>
      <c r="H250" s="18" t="s">
        <v>2652</v>
      </c>
      <c r="I250" s="19"/>
      <c r="J250" s="18"/>
    </row>
    <row r="251" customFormat="false" ht="43.25" hidden="false" customHeight="false" outlineLevel="0" collapsed="false">
      <c r="A251" s="18" t="s">
        <v>585</v>
      </c>
      <c r="B251" s="18" t="s">
        <v>47</v>
      </c>
      <c r="C251" s="18" t="s">
        <v>508</v>
      </c>
      <c r="D251" s="18" t="s">
        <v>164</v>
      </c>
      <c r="E251" s="19" t="s">
        <v>586</v>
      </c>
      <c r="F251" s="18" t="s">
        <v>2624</v>
      </c>
      <c r="G251" s="18" t="n">
        <v>0.96</v>
      </c>
      <c r="H251" s="18" t="s">
        <v>2652</v>
      </c>
      <c r="I251" s="19"/>
      <c r="J251" s="18"/>
    </row>
    <row r="252" customFormat="false" ht="22.35" hidden="false" customHeight="false" outlineLevel="0" collapsed="false">
      <c r="A252" s="18" t="s">
        <v>587</v>
      </c>
      <c r="B252" s="18" t="s">
        <v>47</v>
      </c>
      <c r="C252" s="18" t="s">
        <v>508</v>
      </c>
      <c r="D252" s="18" t="s">
        <v>168</v>
      </c>
      <c r="E252" s="19" t="s">
        <v>167</v>
      </c>
      <c r="F252" s="18" t="s">
        <v>2631</v>
      </c>
      <c r="G252" s="18" t="n">
        <v>0</v>
      </c>
      <c r="H252" s="18"/>
      <c r="I252" s="19" t="s">
        <v>2632</v>
      </c>
      <c r="J252" s="18"/>
    </row>
    <row r="253" customFormat="false" ht="168.65" hidden="false" customHeight="false" outlineLevel="0" collapsed="false">
      <c r="A253" s="18" t="s">
        <v>588</v>
      </c>
      <c r="B253" s="18" t="s">
        <v>47</v>
      </c>
      <c r="C253" s="18" t="s">
        <v>508</v>
      </c>
      <c r="D253" s="18" t="s">
        <v>168</v>
      </c>
      <c r="E253" s="19" t="s">
        <v>589</v>
      </c>
      <c r="F253" s="18" t="s">
        <v>2624</v>
      </c>
      <c r="G253" s="18" t="n">
        <v>1</v>
      </c>
      <c r="H253" s="18" t="s">
        <v>2625</v>
      </c>
      <c r="I253" s="19"/>
      <c r="J253" s="18"/>
    </row>
    <row r="254" customFormat="false" ht="43.25" hidden="false" customHeight="false" outlineLevel="0" collapsed="false">
      <c r="A254" s="18" t="s">
        <v>590</v>
      </c>
      <c r="B254" s="18" t="s">
        <v>47</v>
      </c>
      <c r="C254" s="18" t="s">
        <v>508</v>
      </c>
      <c r="D254" s="18" t="s">
        <v>175</v>
      </c>
      <c r="E254" s="19" t="s">
        <v>591</v>
      </c>
      <c r="F254" s="18" t="s">
        <v>2624</v>
      </c>
      <c r="G254" s="18" t="n">
        <v>1</v>
      </c>
      <c r="H254" s="18" t="s">
        <v>2652</v>
      </c>
      <c r="I254" s="19"/>
      <c r="J254" s="18"/>
    </row>
    <row r="255" customFormat="false" ht="15" hidden="false" customHeight="false" outlineLevel="0" collapsed="false">
      <c r="A255" s="18" t="s">
        <v>592</v>
      </c>
      <c r="B255" s="18" t="s">
        <v>47</v>
      </c>
      <c r="C255" s="18" t="s">
        <v>508</v>
      </c>
      <c r="D255" s="18" t="s">
        <v>164</v>
      </c>
      <c r="E255" s="19" t="s">
        <v>593</v>
      </c>
      <c r="F255" s="18" t="s">
        <v>2624</v>
      </c>
      <c r="G255" s="18" t="n">
        <v>1</v>
      </c>
      <c r="H255" s="18" t="s">
        <v>2652</v>
      </c>
      <c r="I255" s="19"/>
      <c r="J255" s="18"/>
    </row>
    <row r="256" customFormat="false" ht="15" hidden="false" customHeight="false" outlineLevel="0" collapsed="false">
      <c r="A256" s="18" t="s">
        <v>594</v>
      </c>
      <c r="B256" s="18" t="s">
        <v>47</v>
      </c>
      <c r="C256" s="18" t="s">
        <v>508</v>
      </c>
      <c r="D256" s="18" t="s">
        <v>158</v>
      </c>
      <c r="E256" s="19" t="s">
        <v>595</v>
      </c>
      <c r="F256" s="18" t="s">
        <v>2636</v>
      </c>
      <c r="G256" s="18" t="n">
        <v>0</v>
      </c>
      <c r="H256" s="18"/>
      <c r="I256" s="19" t="s">
        <v>2637</v>
      </c>
      <c r="J256" s="18"/>
    </row>
    <row r="257" customFormat="false" ht="15" hidden="false" customHeight="false" outlineLevel="0" collapsed="false">
      <c r="A257" s="18" t="s">
        <v>596</v>
      </c>
      <c r="B257" s="18" t="s">
        <v>47</v>
      </c>
      <c r="C257" s="18" t="s">
        <v>508</v>
      </c>
      <c r="D257" s="18" t="s">
        <v>158</v>
      </c>
      <c r="E257" s="19" t="s">
        <v>597</v>
      </c>
      <c r="F257" s="18" t="s">
        <v>2624</v>
      </c>
      <c r="G257" s="18" t="n">
        <v>1</v>
      </c>
      <c r="H257" s="18" t="s">
        <v>2652</v>
      </c>
      <c r="I257" s="19"/>
      <c r="J257" s="18"/>
    </row>
    <row r="258" customFormat="false" ht="22.35" hidden="false" customHeight="false" outlineLevel="0" collapsed="false">
      <c r="A258" s="18" t="s">
        <v>598</v>
      </c>
      <c r="B258" s="18" t="s">
        <v>47</v>
      </c>
      <c r="C258" s="18" t="s">
        <v>508</v>
      </c>
      <c r="D258" s="18" t="s">
        <v>164</v>
      </c>
      <c r="E258" s="19" t="s">
        <v>599</v>
      </c>
      <c r="F258" s="18" t="s">
        <v>2624</v>
      </c>
      <c r="G258" s="18" t="n">
        <v>1</v>
      </c>
      <c r="H258" s="18" t="s">
        <v>2652</v>
      </c>
      <c r="I258" s="19"/>
      <c r="J258" s="18"/>
    </row>
    <row r="259" customFormat="false" ht="32.8" hidden="false" customHeight="false" outlineLevel="0" collapsed="false">
      <c r="A259" s="18" t="s">
        <v>600</v>
      </c>
      <c r="B259" s="18" t="s">
        <v>47</v>
      </c>
      <c r="C259" s="18" t="s">
        <v>508</v>
      </c>
      <c r="D259" s="18" t="s">
        <v>164</v>
      </c>
      <c r="E259" s="19" t="s">
        <v>601</v>
      </c>
      <c r="F259" s="18" t="s">
        <v>2624</v>
      </c>
      <c r="G259" s="18" t="n">
        <v>1</v>
      </c>
      <c r="H259" s="18" t="s">
        <v>2652</v>
      </c>
      <c r="I259" s="19"/>
      <c r="J259" s="18"/>
    </row>
    <row r="260" customFormat="false" ht="22.35" hidden="false" customHeight="false" outlineLevel="0" collapsed="false">
      <c r="A260" s="18" t="s">
        <v>602</v>
      </c>
      <c r="B260" s="18" t="s">
        <v>47</v>
      </c>
      <c r="C260" s="18" t="s">
        <v>508</v>
      </c>
      <c r="D260" s="18" t="s">
        <v>164</v>
      </c>
      <c r="E260" s="19" t="s">
        <v>603</v>
      </c>
      <c r="F260" s="18" t="s">
        <v>2624</v>
      </c>
      <c r="G260" s="18" t="n">
        <v>1</v>
      </c>
      <c r="H260" s="18" t="s">
        <v>2652</v>
      </c>
      <c r="I260" s="19"/>
      <c r="J260" s="18"/>
    </row>
    <row r="261" customFormat="false" ht="22.35" hidden="false" customHeight="false" outlineLevel="0" collapsed="false">
      <c r="A261" s="18" t="s">
        <v>604</v>
      </c>
      <c r="B261" s="18" t="s">
        <v>47</v>
      </c>
      <c r="C261" s="18" t="s">
        <v>508</v>
      </c>
      <c r="D261" s="18" t="s">
        <v>164</v>
      </c>
      <c r="E261" s="19" t="s">
        <v>605</v>
      </c>
      <c r="F261" s="18" t="s">
        <v>2624</v>
      </c>
      <c r="G261" s="18" t="n">
        <v>1</v>
      </c>
      <c r="H261" s="18" t="s">
        <v>2652</v>
      </c>
      <c r="I261" s="19"/>
      <c r="J261" s="18"/>
    </row>
    <row r="262" customFormat="false" ht="15" hidden="false" customHeight="false" outlineLevel="0" collapsed="false">
      <c r="A262" s="18" t="s">
        <v>606</v>
      </c>
      <c r="B262" s="18" t="s">
        <v>47</v>
      </c>
      <c r="C262" s="18" t="s">
        <v>508</v>
      </c>
      <c r="D262" s="18" t="s">
        <v>164</v>
      </c>
      <c r="E262" s="19" t="s">
        <v>607</v>
      </c>
      <c r="F262" s="18" t="s">
        <v>2624</v>
      </c>
      <c r="G262" s="18" t="n">
        <v>1</v>
      </c>
      <c r="H262" s="18" t="s">
        <v>2652</v>
      </c>
      <c r="I262" s="19"/>
      <c r="J262" s="18"/>
    </row>
    <row r="263" customFormat="false" ht="22.35" hidden="false" customHeight="false" outlineLevel="0" collapsed="false">
      <c r="A263" s="18" t="s">
        <v>608</v>
      </c>
      <c r="B263" s="18" t="s">
        <v>47</v>
      </c>
      <c r="C263" s="18" t="s">
        <v>508</v>
      </c>
      <c r="D263" s="18" t="s">
        <v>164</v>
      </c>
      <c r="E263" s="19" t="s">
        <v>609</v>
      </c>
      <c r="F263" s="18" t="s">
        <v>2624</v>
      </c>
      <c r="G263" s="18" t="n">
        <v>1</v>
      </c>
      <c r="H263" s="18" t="s">
        <v>2652</v>
      </c>
      <c r="I263" s="19"/>
      <c r="J263" s="18"/>
    </row>
    <row r="264" customFormat="false" ht="32.8" hidden="false" customHeight="false" outlineLevel="0" collapsed="false">
      <c r="A264" s="18" t="s">
        <v>610</v>
      </c>
      <c r="B264" s="18" t="s">
        <v>47</v>
      </c>
      <c r="C264" s="18" t="s">
        <v>508</v>
      </c>
      <c r="D264" s="18" t="s">
        <v>164</v>
      </c>
      <c r="E264" s="19" t="s">
        <v>611</v>
      </c>
      <c r="F264" s="18" t="s">
        <v>2624</v>
      </c>
      <c r="G264" s="18" t="n">
        <v>1</v>
      </c>
      <c r="H264" s="18" t="s">
        <v>2652</v>
      </c>
      <c r="I264" s="19"/>
      <c r="J264" s="18"/>
    </row>
    <row r="265" customFormat="false" ht="22.35" hidden="false" customHeight="false" outlineLevel="0" collapsed="false">
      <c r="A265" s="18" t="s">
        <v>612</v>
      </c>
      <c r="B265" s="18" t="s">
        <v>47</v>
      </c>
      <c r="C265" s="18" t="s">
        <v>508</v>
      </c>
      <c r="D265" s="18" t="s">
        <v>164</v>
      </c>
      <c r="E265" s="19" t="s">
        <v>613</v>
      </c>
      <c r="F265" s="18" t="s">
        <v>2624</v>
      </c>
      <c r="G265" s="18" t="n">
        <v>1</v>
      </c>
      <c r="H265" s="18" t="s">
        <v>2652</v>
      </c>
      <c r="I265" s="19"/>
      <c r="J265" s="18"/>
    </row>
    <row r="266" customFormat="false" ht="15" hidden="false" customHeight="false" outlineLevel="0" collapsed="false">
      <c r="A266" s="18" t="s">
        <v>614</v>
      </c>
      <c r="B266" s="18" t="s">
        <v>47</v>
      </c>
      <c r="C266" s="18" t="s">
        <v>508</v>
      </c>
      <c r="D266" s="18" t="s">
        <v>164</v>
      </c>
      <c r="E266" s="19" t="s">
        <v>385</v>
      </c>
      <c r="F266" s="18" t="s">
        <v>2624</v>
      </c>
      <c r="G266" s="18" t="n">
        <v>1</v>
      </c>
      <c r="H266" s="18" t="s">
        <v>2641</v>
      </c>
      <c r="I266" s="19"/>
      <c r="J266" s="18"/>
    </row>
    <row r="267" customFormat="false" ht="53.7" hidden="false" customHeight="false" outlineLevel="0" collapsed="false">
      <c r="A267" s="18" t="s">
        <v>615</v>
      </c>
      <c r="B267" s="18" t="s">
        <v>47</v>
      </c>
      <c r="C267" s="18" t="s">
        <v>508</v>
      </c>
      <c r="D267" s="18" t="s">
        <v>175</v>
      </c>
      <c r="E267" s="19" t="s">
        <v>616</v>
      </c>
      <c r="F267" s="18" t="s">
        <v>2630</v>
      </c>
      <c r="G267" s="18" t="n">
        <v>0.61</v>
      </c>
      <c r="H267" s="18" t="s">
        <v>2653</v>
      </c>
      <c r="I267" s="19"/>
      <c r="J267" s="18"/>
    </row>
    <row r="268" customFormat="false" ht="15" hidden="false" customHeight="false" outlineLevel="0" collapsed="false">
      <c r="A268" s="18" t="s">
        <v>617</v>
      </c>
      <c r="B268" s="18" t="s">
        <v>47</v>
      </c>
      <c r="C268" s="18" t="s">
        <v>508</v>
      </c>
      <c r="D268" s="18" t="s">
        <v>164</v>
      </c>
      <c r="E268" s="19" t="s">
        <v>618</v>
      </c>
      <c r="F268" s="18" t="s">
        <v>2624</v>
      </c>
      <c r="G268" s="18" t="n">
        <v>1</v>
      </c>
      <c r="H268" s="18" t="s">
        <v>2652</v>
      </c>
      <c r="I268" s="19"/>
      <c r="J268" s="18"/>
    </row>
    <row r="269" customFormat="false" ht="22.35" hidden="false" customHeight="false" outlineLevel="0" collapsed="false">
      <c r="A269" s="18" t="s">
        <v>619</v>
      </c>
      <c r="B269" s="18" t="s">
        <v>47</v>
      </c>
      <c r="C269" s="18" t="s">
        <v>508</v>
      </c>
      <c r="D269" s="18" t="s">
        <v>164</v>
      </c>
      <c r="E269" s="19" t="s">
        <v>620</v>
      </c>
      <c r="F269" s="18" t="s">
        <v>2624</v>
      </c>
      <c r="G269" s="18" t="n">
        <v>1</v>
      </c>
      <c r="H269" s="18" t="s">
        <v>2652</v>
      </c>
      <c r="I269" s="19"/>
      <c r="J269" s="18"/>
    </row>
    <row r="270" customFormat="false" ht="32.8" hidden="false" customHeight="false" outlineLevel="0" collapsed="false">
      <c r="A270" s="18" t="s">
        <v>621</v>
      </c>
      <c r="B270" s="18" t="s">
        <v>47</v>
      </c>
      <c r="C270" s="18" t="s">
        <v>508</v>
      </c>
      <c r="D270" s="18" t="s">
        <v>164</v>
      </c>
      <c r="E270" s="19" t="s">
        <v>622</v>
      </c>
      <c r="F270" s="18" t="s">
        <v>2624</v>
      </c>
      <c r="G270" s="18" t="n">
        <v>1</v>
      </c>
      <c r="H270" s="18" t="s">
        <v>2652</v>
      </c>
      <c r="I270" s="19"/>
      <c r="J270" s="18"/>
    </row>
    <row r="271" customFormat="false" ht="32.8" hidden="false" customHeight="false" outlineLevel="0" collapsed="false">
      <c r="A271" s="18" t="s">
        <v>623</v>
      </c>
      <c r="B271" s="18" t="s">
        <v>47</v>
      </c>
      <c r="C271" s="18" t="s">
        <v>508</v>
      </c>
      <c r="D271" s="18" t="s">
        <v>164</v>
      </c>
      <c r="E271" s="19" t="s">
        <v>624</v>
      </c>
      <c r="F271" s="18" t="s">
        <v>2624</v>
      </c>
      <c r="G271" s="18" t="n">
        <v>1</v>
      </c>
      <c r="H271" s="18" t="s">
        <v>2652</v>
      </c>
      <c r="I271" s="19"/>
      <c r="J271" s="18"/>
    </row>
    <row r="272" customFormat="false" ht="22.35" hidden="false" customHeight="false" outlineLevel="0" collapsed="false">
      <c r="A272" s="18" t="s">
        <v>625</v>
      </c>
      <c r="B272" s="18" t="s">
        <v>47</v>
      </c>
      <c r="C272" s="18" t="s">
        <v>508</v>
      </c>
      <c r="D272" s="18" t="s">
        <v>164</v>
      </c>
      <c r="E272" s="19" t="s">
        <v>626</v>
      </c>
      <c r="F272" s="18" t="s">
        <v>2624</v>
      </c>
      <c r="G272" s="18" t="n">
        <v>1</v>
      </c>
      <c r="H272" s="18" t="s">
        <v>2652</v>
      </c>
      <c r="I272" s="19"/>
      <c r="J272" s="18"/>
    </row>
    <row r="273" customFormat="false" ht="22.35" hidden="false" customHeight="false" outlineLevel="0" collapsed="false">
      <c r="A273" s="18" t="s">
        <v>627</v>
      </c>
      <c r="B273" s="18" t="s">
        <v>47</v>
      </c>
      <c r="C273" s="18" t="s">
        <v>508</v>
      </c>
      <c r="D273" s="18" t="s">
        <v>164</v>
      </c>
      <c r="E273" s="19" t="s">
        <v>628</v>
      </c>
      <c r="F273" s="18" t="s">
        <v>2630</v>
      </c>
      <c r="G273" s="18" t="n">
        <v>0.74</v>
      </c>
      <c r="H273" s="18" t="s">
        <v>2652</v>
      </c>
      <c r="I273" s="19"/>
      <c r="J273" s="18"/>
    </row>
    <row r="274" customFormat="false" ht="32.8" hidden="false" customHeight="false" outlineLevel="0" collapsed="false">
      <c r="A274" s="18" t="s">
        <v>629</v>
      </c>
      <c r="B274" s="18" t="s">
        <v>47</v>
      </c>
      <c r="C274" s="18" t="s">
        <v>508</v>
      </c>
      <c r="D274" s="18" t="s">
        <v>175</v>
      </c>
      <c r="E274" s="19" t="s">
        <v>630</v>
      </c>
      <c r="F274" s="18" t="s">
        <v>2624</v>
      </c>
      <c r="G274" s="18" t="n">
        <v>1</v>
      </c>
      <c r="H274" s="18" t="s">
        <v>2652</v>
      </c>
      <c r="I274" s="19"/>
      <c r="J274" s="18"/>
    </row>
    <row r="275" customFormat="false" ht="22.35" hidden="false" customHeight="false" outlineLevel="0" collapsed="false">
      <c r="A275" s="18" t="s">
        <v>631</v>
      </c>
      <c r="B275" s="18" t="s">
        <v>47</v>
      </c>
      <c r="C275" s="18" t="s">
        <v>508</v>
      </c>
      <c r="D275" s="18" t="s">
        <v>411</v>
      </c>
      <c r="E275" s="19" t="s">
        <v>410</v>
      </c>
      <c r="F275" s="18" t="s">
        <v>2636</v>
      </c>
      <c r="G275" s="18" t="n">
        <v>1</v>
      </c>
      <c r="H275" s="18" t="s">
        <v>2625</v>
      </c>
      <c r="I275" s="19" t="s">
        <v>2642</v>
      </c>
      <c r="J275" s="18"/>
    </row>
    <row r="276" customFormat="false" ht="15" hidden="false" customHeight="false" outlineLevel="0" collapsed="false">
      <c r="A276" s="18" t="s">
        <v>632</v>
      </c>
      <c r="B276" s="18" t="s">
        <v>47</v>
      </c>
      <c r="C276" s="18" t="s">
        <v>508</v>
      </c>
      <c r="D276" s="18" t="s">
        <v>411</v>
      </c>
      <c r="E276" s="19" t="s">
        <v>633</v>
      </c>
      <c r="F276" s="18" t="s">
        <v>2624</v>
      </c>
      <c r="G276" s="18" t="n">
        <v>1</v>
      </c>
      <c r="H276" s="18" t="s">
        <v>2643</v>
      </c>
      <c r="I276" s="19"/>
      <c r="J276" s="18"/>
    </row>
    <row r="277" customFormat="false" ht="32.8" hidden="false" customHeight="false" outlineLevel="0" collapsed="false">
      <c r="A277" s="18" t="s">
        <v>634</v>
      </c>
      <c r="B277" s="18" t="s">
        <v>47</v>
      </c>
      <c r="C277" s="18" t="s">
        <v>508</v>
      </c>
      <c r="D277" s="18" t="s">
        <v>411</v>
      </c>
      <c r="E277" s="19" t="s">
        <v>635</v>
      </c>
      <c r="F277" s="18" t="s">
        <v>2624</v>
      </c>
      <c r="G277" s="18" t="n">
        <v>1</v>
      </c>
      <c r="H277" s="18" t="s">
        <v>2653</v>
      </c>
      <c r="I277" s="19"/>
      <c r="J277" s="18"/>
    </row>
    <row r="278" customFormat="false" ht="15" hidden="false" customHeight="false" outlineLevel="0" collapsed="false">
      <c r="A278" s="18" t="s">
        <v>636</v>
      </c>
      <c r="B278" s="18" t="s">
        <v>47</v>
      </c>
      <c r="C278" s="18" t="s">
        <v>508</v>
      </c>
      <c r="D278" s="18" t="s">
        <v>411</v>
      </c>
      <c r="E278" s="19" t="s">
        <v>637</v>
      </c>
      <c r="F278" s="18" t="s">
        <v>2624</v>
      </c>
      <c r="G278" s="18" t="n">
        <v>1</v>
      </c>
      <c r="H278" s="18" t="s">
        <v>2653</v>
      </c>
      <c r="I278" s="19"/>
      <c r="J278" s="18"/>
    </row>
    <row r="279" customFormat="false" ht="15" hidden="false" customHeight="false" outlineLevel="0" collapsed="false">
      <c r="A279" s="18" t="s">
        <v>638</v>
      </c>
      <c r="B279" s="18" t="s">
        <v>47</v>
      </c>
      <c r="C279" s="18" t="s">
        <v>508</v>
      </c>
      <c r="D279" s="18" t="s">
        <v>411</v>
      </c>
      <c r="E279" s="19" t="s">
        <v>639</v>
      </c>
      <c r="F279" s="18" t="s">
        <v>2624</v>
      </c>
      <c r="G279" s="18" t="n">
        <v>1</v>
      </c>
      <c r="H279" s="18" t="s">
        <v>2633</v>
      </c>
      <c r="I279" s="19"/>
      <c r="J279" s="18"/>
    </row>
    <row r="280" customFormat="false" ht="22.35" hidden="false" customHeight="false" outlineLevel="0" collapsed="false">
      <c r="A280" s="18" t="s">
        <v>640</v>
      </c>
      <c r="B280" s="18" t="s">
        <v>47</v>
      </c>
      <c r="C280" s="18" t="s">
        <v>508</v>
      </c>
      <c r="D280" s="18" t="s">
        <v>411</v>
      </c>
      <c r="E280" s="19" t="s">
        <v>641</v>
      </c>
      <c r="F280" s="18" t="s">
        <v>2624</v>
      </c>
      <c r="G280" s="18" t="n">
        <v>1</v>
      </c>
      <c r="H280" s="18" t="s">
        <v>2633</v>
      </c>
      <c r="I280" s="19"/>
      <c r="J280" s="18"/>
    </row>
    <row r="281" customFormat="false" ht="15" hidden="false" customHeight="false" outlineLevel="0" collapsed="false">
      <c r="A281" s="18" t="s">
        <v>642</v>
      </c>
      <c r="B281" s="18" t="s">
        <v>47</v>
      </c>
      <c r="C281" s="18" t="s">
        <v>508</v>
      </c>
      <c r="D281" s="18" t="s">
        <v>411</v>
      </c>
      <c r="E281" s="19" t="s">
        <v>643</v>
      </c>
      <c r="F281" s="18" t="s">
        <v>2624</v>
      </c>
      <c r="G281" s="18" t="n">
        <v>1</v>
      </c>
      <c r="H281" s="18" t="s">
        <v>2633</v>
      </c>
      <c r="I281" s="19"/>
      <c r="J281" s="18"/>
    </row>
    <row r="282" customFormat="false" ht="22.35" hidden="false" customHeight="false" outlineLevel="0" collapsed="false">
      <c r="A282" s="18" t="s">
        <v>644</v>
      </c>
      <c r="B282" s="18" t="s">
        <v>47</v>
      </c>
      <c r="C282" s="18" t="s">
        <v>508</v>
      </c>
      <c r="D282" s="18" t="s">
        <v>411</v>
      </c>
      <c r="E282" s="19" t="s">
        <v>645</v>
      </c>
      <c r="F282" s="18" t="s">
        <v>2624</v>
      </c>
      <c r="G282" s="18" t="n">
        <v>1</v>
      </c>
      <c r="H282" s="18" t="s">
        <v>2653</v>
      </c>
      <c r="I282" s="19"/>
      <c r="J282" s="18"/>
    </row>
    <row r="283" customFormat="false" ht="15" hidden="false" customHeight="false" outlineLevel="0" collapsed="false">
      <c r="A283" s="18" t="s">
        <v>646</v>
      </c>
      <c r="B283" s="18" t="s">
        <v>47</v>
      </c>
      <c r="C283" s="18" t="s">
        <v>508</v>
      </c>
      <c r="D283" s="18" t="s">
        <v>411</v>
      </c>
      <c r="E283" s="19" t="s">
        <v>647</v>
      </c>
      <c r="F283" s="18" t="s">
        <v>2624</v>
      </c>
      <c r="G283" s="18" t="n">
        <v>1</v>
      </c>
      <c r="H283" s="18" t="s">
        <v>2653</v>
      </c>
      <c r="I283" s="19"/>
      <c r="J283" s="18"/>
    </row>
    <row r="284" customFormat="false" ht="15" hidden="false" customHeight="false" outlineLevel="0" collapsed="false">
      <c r="A284" s="18" t="s">
        <v>648</v>
      </c>
      <c r="B284" s="18" t="s">
        <v>47</v>
      </c>
      <c r="C284" s="18" t="s">
        <v>508</v>
      </c>
      <c r="D284" s="18" t="s">
        <v>411</v>
      </c>
      <c r="E284" s="19" t="s">
        <v>649</v>
      </c>
      <c r="F284" s="18" t="s">
        <v>2624</v>
      </c>
      <c r="G284" s="18" t="n">
        <v>1</v>
      </c>
      <c r="H284" s="18" t="s">
        <v>2652</v>
      </c>
      <c r="I284" s="19"/>
      <c r="J284" s="18"/>
    </row>
    <row r="285" customFormat="false" ht="15" hidden="false" customHeight="false" outlineLevel="0" collapsed="false">
      <c r="A285" s="18" t="s">
        <v>650</v>
      </c>
      <c r="B285" s="18" t="s">
        <v>47</v>
      </c>
      <c r="C285" s="18" t="s">
        <v>508</v>
      </c>
      <c r="D285" s="18" t="s">
        <v>411</v>
      </c>
      <c r="E285" s="19" t="s">
        <v>651</v>
      </c>
      <c r="F285" s="18" t="s">
        <v>2624</v>
      </c>
      <c r="G285" s="18" t="n">
        <v>1</v>
      </c>
      <c r="H285" s="18" t="s">
        <v>2633</v>
      </c>
      <c r="I285" s="19"/>
      <c r="J285" s="18"/>
    </row>
    <row r="286" customFormat="false" ht="15" hidden="false" customHeight="false" outlineLevel="0" collapsed="false">
      <c r="A286" s="18" t="s">
        <v>652</v>
      </c>
      <c r="B286" s="18" t="s">
        <v>47</v>
      </c>
      <c r="C286" s="18" t="s">
        <v>508</v>
      </c>
      <c r="D286" s="18" t="s">
        <v>411</v>
      </c>
      <c r="E286" s="19" t="s">
        <v>653</v>
      </c>
      <c r="F286" s="18" t="s">
        <v>2624</v>
      </c>
      <c r="G286" s="18" t="n">
        <v>1</v>
      </c>
      <c r="H286" s="18" t="s">
        <v>2633</v>
      </c>
      <c r="I286" s="19"/>
      <c r="J286" s="18"/>
    </row>
    <row r="287" customFormat="false" ht="22.35" hidden="false" customHeight="false" outlineLevel="0" collapsed="false">
      <c r="A287" s="18" t="s">
        <v>654</v>
      </c>
      <c r="B287" s="18" t="s">
        <v>47</v>
      </c>
      <c r="C287" s="18" t="s">
        <v>508</v>
      </c>
      <c r="D287" s="18" t="s">
        <v>411</v>
      </c>
      <c r="E287" s="19" t="s">
        <v>655</v>
      </c>
      <c r="F287" s="18" t="s">
        <v>2624</v>
      </c>
      <c r="G287" s="18" t="n">
        <v>1</v>
      </c>
      <c r="H287" s="18" t="s">
        <v>2633</v>
      </c>
      <c r="I287" s="19"/>
      <c r="J287" s="18"/>
    </row>
    <row r="288" customFormat="false" ht="15" hidden="false" customHeight="false" outlineLevel="0" collapsed="false">
      <c r="A288" s="18" t="s">
        <v>656</v>
      </c>
      <c r="B288" s="18" t="s">
        <v>47</v>
      </c>
      <c r="C288" s="18" t="s">
        <v>508</v>
      </c>
      <c r="D288" s="18" t="s">
        <v>411</v>
      </c>
      <c r="E288" s="19" t="s">
        <v>657</v>
      </c>
      <c r="F288" s="18" t="s">
        <v>2624</v>
      </c>
      <c r="G288" s="18" t="n">
        <v>1</v>
      </c>
      <c r="H288" s="18" t="s">
        <v>2633</v>
      </c>
      <c r="I288" s="19"/>
      <c r="J288" s="18"/>
    </row>
    <row r="289" customFormat="false" ht="15" hidden="false" customHeight="false" outlineLevel="0" collapsed="false">
      <c r="A289" s="18" t="s">
        <v>658</v>
      </c>
      <c r="B289" s="18" t="s">
        <v>47</v>
      </c>
      <c r="C289" s="18" t="s">
        <v>508</v>
      </c>
      <c r="D289" s="18" t="s">
        <v>411</v>
      </c>
      <c r="E289" s="19" t="s">
        <v>659</v>
      </c>
      <c r="F289" s="18" t="s">
        <v>2624</v>
      </c>
      <c r="G289" s="18" t="n">
        <v>0.88</v>
      </c>
      <c r="H289" s="18" t="s">
        <v>2633</v>
      </c>
      <c r="I289" s="19"/>
      <c r="J289" s="18"/>
    </row>
    <row r="290" customFormat="false" ht="15" hidden="false" customHeight="false" outlineLevel="0" collapsed="false">
      <c r="A290" s="18" t="s">
        <v>660</v>
      </c>
      <c r="B290" s="18" t="s">
        <v>47</v>
      </c>
      <c r="C290" s="18" t="s">
        <v>508</v>
      </c>
      <c r="D290" s="18" t="s">
        <v>411</v>
      </c>
      <c r="E290" s="19" t="s">
        <v>661</v>
      </c>
      <c r="F290" s="18" t="s">
        <v>2624</v>
      </c>
      <c r="G290" s="18" t="n">
        <v>1</v>
      </c>
      <c r="H290" s="18" t="s">
        <v>2633</v>
      </c>
      <c r="I290" s="19"/>
      <c r="J290" s="18"/>
    </row>
    <row r="291" customFormat="false" ht="15" hidden="false" customHeight="false" outlineLevel="0" collapsed="false">
      <c r="A291" s="18" t="s">
        <v>662</v>
      </c>
      <c r="B291" s="18" t="s">
        <v>47</v>
      </c>
      <c r="C291" s="18" t="s">
        <v>508</v>
      </c>
      <c r="D291" s="18" t="s">
        <v>411</v>
      </c>
      <c r="E291" s="19" t="s">
        <v>663</v>
      </c>
      <c r="F291" s="18" t="s">
        <v>2624</v>
      </c>
      <c r="G291" s="18" t="n">
        <v>1</v>
      </c>
      <c r="H291" s="18" t="s">
        <v>2633</v>
      </c>
      <c r="I291" s="19"/>
      <c r="J291" s="18"/>
    </row>
    <row r="292" customFormat="false" ht="15" hidden="false" customHeight="false" outlineLevel="0" collapsed="false">
      <c r="A292" s="18" t="s">
        <v>664</v>
      </c>
      <c r="B292" s="18" t="s">
        <v>47</v>
      </c>
      <c r="C292" s="18" t="s">
        <v>508</v>
      </c>
      <c r="D292" s="18" t="s">
        <v>158</v>
      </c>
      <c r="E292" s="19" t="s">
        <v>447</v>
      </c>
      <c r="F292" s="18" t="s">
        <v>2624</v>
      </c>
      <c r="G292" s="18" t="n">
        <v>1</v>
      </c>
      <c r="H292" s="18" t="s">
        <v>2644</v>
      </c>
      <c r="I292" s="19"/>
      <c r="J292" s="18"/>
    </row>
    <row r="293" customFormat="false" ht="15" hidden="false" customHeight="false" outlineLevel="0" collapsed="false">
      <c r="A293" s="18" t="s">
        <v>665</v>
      </c>
      <c r="B293" s="18" t="s">
        <v>47</v>
      </c>
      <c r="C293" s="18" t="s">
        <v>508</v>
      </c>
      <c r="D293" s="18" t="s">
        <v>158</v>
      </c>
      <c r="E293" s="19" t="s">
        <v>666</v>
      </c>
      <c r="F293" s="18" t="s">
        <v>2624</v>
      </c>
      <c r="G293" s="18" t="n">
        <v>1</v>
      </c>
      <c r="H293" s="18" t="s">
        <v>2647</v>
      </c>
      <c r="I293" s="19"/>
      <c r="J293" s="18"/>
    </row>
    <row r="294" customFormat="false" ht="32.8" hidden="false" customHeight="false" outlineLevel="0" collapsed="false">
      <c r="A294" s="18" t="s">
        <v>667</v>
      </c>
      <c r="B294" s="18" t="s">
        <v>47</v>
      </c>
      <c r="C294" s="18" t="s">
        <v>508</v>
      </c>
      <c r="D294" s="18" t="s">
        <v>164</v>
      </c>
      <c r="E294" s="19" t="s">
        <v>668</v>
      </c>
      <c r="F294" s="18" t="s">
        <v>2624</v>
      </c>
      <c r="G294" s="18" t="n">
        <v>1</v>
      </c>
      <c r="H294" s="18" t="s">
        <v>2647</v>
      </c>
      <c r="I294" s="19"/>
      <c r="J294" s="18"/>
    </row>
    <row r="295" customFormat="false" ht="22.35" hidden="false" customHeight="false" outlineLevel="0" collapsed="false">
      <c r="A295" s="18" t="s">
        <v>669</v>
      </c>
      <c r="B295" s="18" t="s">
        <v>47</v>
      </c>
      <c r="C295" s="18" t="s">
        <v>508</v>
      </c>
      <c r="D295" s="18" t="s">
        <v>164</v>
      </c>
      <c r="E295" s="19" t="s">
        <v>670</v>
      </c>
      <c r="F295" s="18" t="s">
        <v>2624</v>
      </c>
      <c r="G295" s="18" t="n">
        <v>1</v>
      </c>
      <c r="H295" s="18" t="s">
        <v>2647</v>
      </c>
      <c r="I295" s="19"/>
      <c r="J295" s="18"/>
    </row>
    <row r="296" customFormat="false" ht="32.8" hidden="false" customHeight="false" outlineLevel="0" collapsed="false">
      <c r="A296" s="18" t="s">
        <v>671</v>
      </c>
      <c r="B296" s="18" t="s">
        <v>47</v>
      </c>
      <c r="C296" s="18" t="s">
        <v>508</v>
      </c>
      <c r="D296" s="18" t="s">
        <v>164</v>
      </c>
      <c r="E296" s="19" t="s">
        <v>672</v>
      </c>
      <c r="F296" s="18" t="s">
        <v>2624</v>
      </c>
      <c r="G296" s="18" t="n">
        <v>0.91</v>
      </c>
      <c r="H296" s="18" t="s">
        <v>2647</v>
      </c>
      <c r="I296" s="19"/>
      <c r="J296" s="18"/>
    </row>
    <row r="297" customFormat="false" ht="15" hidden="false" customHeight="false" outlineLevel="0" collapsed="false">
      <c r="A297" s="18" t="s">
        <v>673</v>
      </c>
      <c r="B297" s="18" t="s">
        <v>47</v>
      </c>
      <c r="C297" s="18" t="s">
        <v>508</v>
      </c>
      <c r="D297" s="18" t="s">
        <v>164</v>
      </c>
      <c r="E297" s="19" t="s">
        <v>674</v>
      </c>
      <c r="F297" s="18" t="s">
        <v>2624</v>
      </c>
      <c r="G297" s="18" t="n">
        <v>1</v>
      </c>
      <c r="H297" s="18" t="s">
        <v>2647</v>
      </c>
      <c r="I297" s="19"/>
      <c r="J297" s="18"/>
    </row>
    <row r="298" customFormat="false" ht="15" hidden="false" customHeight="false" outlineLevel="0" collapsed="false">
      <c r="A298" s="18" t="s">
        <v>675</v>
      </c>
      <c r="B298" s="18" t="s">
        <v>47</v>
      </c>
      <c r="C298" s="18" t="s">
        <v>508</v>
      </c>
      <c r="D298" s="18" t="s">
        <v>164</v>
      </c>
      <c r="E298" s="19" t="s">
        <v>676</v>
      </c>
      <c r="F298" s="18" t="s">
        <v>2624</v>
      </c>
      <c r="G298" s="18" t="n">
        <v>1</v>
      </c>
      <c r="H298" s="18" t="s">
        <v>2647</v>
      </c>
      <c r="I298" s="19"/>
      <c r="J298" s="18"/>
    </row>
    <row r="299" customFormat="false" ht="22.35" hidden="false" customHeight="false" outlineLevel="0" collapsed="false">
      <c r="A299" s="18" t="s">
        <v>677</v>
      </c>
      <c r="B299" s="18" t="s">
        <v>47</v>
      </c>
      <c r="C299" s="18" t="s">
        <v>508</v>
      </c>
      <c r="D299" s="18" t="s">
        <v>164</v>
      </c>
      <c r="E299" s="19" t="s">
        <v>678</v>
      </c>
      <c r="F299" s="18" t="s">
        <v>2627</v>
      </c>
      <c r="G299" s="18" t="n">
        <v>1</v>
      </c>
      <c r="H299" s="18" t="s">
        <v>2647</v>
      </c>
      <c r="I299" s="19" t="s">
        <v>2635</v>
      </c>
      <c r="J299" s="18"/>
    </row>
    <row r="300" customFormat="false" ht="15" hidden="false" customHeight="false" outlineLevel="0" collapsed="false">
      <c r="A300" s="18" t="s">
        <v>679</v>
      </c>
      <c r="B300" s="18" t="s">
        <v>47</v>
      </c>
      <c r="C300" s="18" t="s">
        <v>508</v>
      </c>
      <c r="D300" s="18" t="s">
        <v>164</v>
      </c>
      <c r="E300" s="19" t="s">
        <v>680</v>
      </c>
      <c r="F300" s="18" t="s">
        <v>2624</v>
      </c>
      <c r="G300" s="18" t="n">
        <v>1</v>
      </c>
      <c r="H300" s="18" t="s">
        <v>2647</v>
      </c>
      <c r="I300" s="19"/>
      <c r="J300" s="18"/>
    </row>
    <row r="301" customFormat="false" ht="22.35" hidden="false" customHeight="false" outlineLevel="0" collapsed="false">
      <c r="A301" s="18" t="s">
        <v>681</v>
      </c>
      <c r="B301" s="18" t="s">
        <v>47</v>
      </c>
      <c r="C301" s="18" t="s">
        <v>508</v>
      </c>
      <c r="D301" s="18" t="s">
        <v>164</v>
      </c>
      <c r="E301" s="19" t="s">
        <v>682</v>
      </c>
      <c r="F301" s="18" t="s">
        <v>2627</v>
      </c>
      <c r="G301" s="18" t="n">
        <v>1</v>
      </c>
      <c r="H301" s="18" t="s">
        <v>2647</v>
      </c>
      <c r="I301" s="19" t="s">
        <v>2635</v>
      </c>
      <c r="J301" s="18"/>
    </row>
    <row r="302" customFormat="false" ht="15" hidden="false" customHeight="false" outlineLevel="0" collapsed="false">
      <c r="A302" s="18" t="s">
        <v>683</v>
      </c>
      <c r="B302" s="18" t="s">
        <v>47</v>
      </c>
      <c r="C302" s="18" t="s">
        <v>508</v>
      </c>
      <c r="D302" s="18" t="s">
        <v>164</v>
      </c>
      <c r="E302" s="19" t="s">
        <v>684</v>
      </c>
      <c r="F302" s="18" t="s">
        <v>2624</v>
      </c>
      <c r="G302" s="18" t="n">
        <v>1</v>
      </c>
      <c r="H302" s="18" t="s">
        <v>2647</v>
      </c>
      <c r="I302" s="19"/>
      <c r="J302" s="18"/>
    </row>
    <row r="303" customFormat="false" ht="22.35" hidden="false" customHeight="false" outlineLevel="0" collapsed="false">
      <c r="A303" s="18" t="s">
        <v>685</v>
      </c>
      <c r="B303" s="18" t="s">
        <v>47</v>
      </c>
      <c r="C303" s="18" t="s">
        <v>508</v>
      </c>
      <c r="D303" s="18" t="s">
        <v>164</v>
      </c>
      <c r="E303" s="19" t="s">
        <v>686</v>
      </c>
      <c r="F303" s="18" t="s">
        <v>2627</v>
      </c>
      <c r="G303" s="18" t="n">
        <v>1</v>
      </c>
      <c r="H303" s="18" t="s">
        <v>2647</v>
      </c>
      <c r="I303" s="19" t="s">
        <v>2635</v>
      </c>
      <c r="J303" s="18"/>
    </row>
    <row r="304" customFormat="false" ht="15" hidden="false" customHeight="false" outlineLevel="0" collapsed="false">
      <c r="A304" s="18" t="s">
        <v>687</v>
      </c>
      <c r="B304" s="18" t="s">
        <v>47</v>
      </c>
      <c r="C304" s="18" t="s">
        <v>508</v>
      </c>
      <c r="D304" s="18" t="s">
        <v>164</v>
      </c>
      <c r="E304" s="19" t="s">
        <v>457</v>
      </c>
      <c r="F304" s="18" t="s">
        <v>2627</v>
      </c>
      <c r="G304" s="18" t="n">
        <v>0.2</v>
      </c>
      <c r="H304" s="18"/>
      <c r="I304" s="19" t="s">
        <v>2634</v>
      </c>
      <c r="J304" s="18"/>
    </row>
    <row r="305" customFormat="false" ht="15" hidden="false" customHeight="false" outlineLevel="0" collapsed="false">
      <c r="A305" s="18" t="s">
        <v>688</v>
      </c>
      <c r="B305" s="18" t="s">
        <v>47</v>
      </c>
      <c r="C305" s="18" t="s">
        <v>508</v>
      </c>
      <c r="D305" s="18" t="s">
        <v>175</v>
      </c>
      <c r="E305" s="19" t="s">
        <v>459</v>
      </c>
      <c r="F305" s="18" t="s">
        <v>2630</v>
      </c>
      <c r="G305" s="18" t="n">
        <v>0.67</v>
      </c>
      <c r="H305" s="18" t="s">
        <v>2647</v>
      </c>
      <c r="I305" s="19"/>
      <c r="J305" s="18"/>
    </row>
    <row r="306" customFormat="false" ht="22.35" hidden="false" customHeight="false" outlineLevel="0" collapsed="false">
      <c r="A306" s="18" t="s">
        <v>689</v>
      </c>
      <c r="B306" s="18" t="s">
        <v>47</v>
      </c>
      <c r="C306" s="18" t="s">
        <v>508</v>
      </c>
      <c r="D306" s="18" t="s">
        <v>175</v>
      </c>
      <c r="E306" s="19" t="s">
        <v>690</v>
      </c>
      <c r="F306" s="18" t="s">
        <v>2624</v>
      </c>
      <c r="G306" s="18" t="n">
        <v>1</v>
      </c>
      <c r="H306" s="18" t="s">
        <v>2647</v>
      </c>
      <c r="I306" s="19"/>
      <c r="J306" s="18"/>
    </row>
    <row r="307" customFormat="false" ht="15" hidden="false" customHeight="false" outlineLevel="0" collapsed="false">
      <c r="A307" s="18" t="s">
        <v>691</v>
      </c>
      <c r="B307" s="18" t="s">
        <v>47</v>
      </c>
      <c r="C307" s="18" t="s">
        <v>508</v>
      </c>
      <c r="D307" s="18" t="s">
        <v>175</v>
      </c>
      <c r="E307" s="19" t="s">
        <v>692</v>
      </c>
      <c r="F307" s="18" t="s">
        <v>2624</v>
      </c>
      <c r="G307" s="18" t="n">
        <v>1</v>
      </c>
      <c r="H307" s="18" t="s">
        <v>2647</v>
      </c>
      <c r="I307" s="19"/>
      <c r="J307" s="18"/>
    </row>
    <row r="308" customFormat="false" ht="15" hidden="false" customHeight="false" outlineLevel="0" collapsed="false">
      <c r="A308" s="18" t="s">
        <v>693</v>
      </c>
      <c r="B308" s="18" t="s">
        <v>47</v>
      </c>
      <c r="C308" s="18" t="s">
        <v>508</v>
      </c>
      <c r="D308" s="18" t="s">
        <v>175</v>
      </c>
      <c r="E308" s="19" t="s">
        <v>694</v>
      </c>
      <c r="F308" s="18" t="s">
        <v>2624</v>
      </c>
      <c r="G308" s="18" t="n">
        <v>1</v>
      </c>
      <c r="H308" s="18" t="s">
        <v>2647</v>
      </c>
      <c r="I308" s="19"/>
      <c r="J308" s="18"/>
    </row>
    <row r="309" customFormat="false" ht="22.35" hidden="false" customHeight="false" outlineLevel="0" collapsed="false">
      <c r="A309" s="18" t="s">
        <v>695</v>
      </c>
      <c r="B309" s="18" t="s">
        <v>47</v>
      </c>
      <c r="C309" s="18" t="s">
        <v>508</v>
      </c>
      <c r="D309" s="18" t="s">
        <v>158</v>
      </c>
      <c r="E309" s="19" t="s">
        <v>467</v>
      </c>
      <c r="F309" s="18" t="s">
        <v>2631</v>
      </c>
      <c r="G309" s="18" t="n">
        <v>0</v>
      </c>
      <c r="H309" s="18"/>
      <c r="I309" s="19" t="s">
        <v>2639</v>
      </c>
      <c r="J309" s="18"/>
    </row>
    <row r="310" customFormat="false" ht="22.35" hidden="false" customHeight="false" outlineLevel="0" collapsed="false">
      <c r="A310" s="18" t="s">
        <v>696</v>
      </c>
      <c r="B310" s="18" t="s">
        <v>47</v>
      </c>
      <c r="C310" s="18" t="s">
        <v>508</v>
      </c>
      <c r="D310" s="18" t="s">
        <v>164</v>
      </c>
      <c r="E310" s="19" t="s">
        <v>697</v>
      </c>
      <c r="F310" s="18" t="s">
        <v>2631</v>
      </c>
      <c r="G310" s="18" t="n">
        <v>0.13</v>
      </c>
      <c r="H310" s="18"/>
      <c r="I310" s="19" t="s">
        <v>2639</v>
      </c>
      <c r="J310" s="18"/>
    </row>
    <row r="311" customFormat="false" ht="22.35" hidden="false" customHeight="false" outlineLevel="0" collapsed="false">
      <c r="A311" s="18" t="s">
        <v>698</v>
      </c>
      <c r="B311" s="18" t="s">
        <v>47</v>
      </c>
      <c r="C311" s="18" t="s">
        <v>508</v>
      </c>
      <c r="D311" s="18" t="s">
        <v>164</v>
      </c>
      <c r="E311" s="19" t="s">
        <v>699</v>
      </c>
      <c r="F311" s="18" t="s">
        <v>2631</v>
      </c>
      <c r="G311" s="18" t="n">
        <v>0.14</v>
      </c>
      <c r="H311" s="18"/>
      <c r="I311" s="19" t="s">
        <v>2639</v>
      </c>
      <c r="J311" s="18"/>
    </row>
    <row r="312" customFormat="false" ht="22.35" hidden="false" customHeight="false" outlineLevel="0" collapsed="false">
      <c r="A312" s="18" t="s">
        <v>700</v>
      </c>
      <c r="B312" s="18" t="s">
        <v>47</v>
      </c>
      <c r="C312" s="18" t="s">
        <v>508</v>
      </c>
      <c r="D312" s="18" t="s">
        <v>164</v>
      </c>
      <c r="E312" s="19" t="s">
        <v>701</v>
      </c>
      <c r="F312" s="18" t="s">
        <v>2631</v>
      </c>
      <c r="G312" s="18" t="n">
        <v>0.15</v>
      </c>
      <c r="H312" s="18"/>
      <c r="I312" s="19" t="s">
        <v>2639</v>
      </c>
      <c r="J312" s="18"/>
    </row>
    <row r="313" customFormat="false" ht="22.35" hidden="false" customHeight="false" outlineLevel="0" collapsed="false">
      <c r="A313" s="18" t="s">
        <v>702</v>
      </c>
      <c r="B313" s="18" t="s">
        <v>47</v>
      </c>
      <c r="C313" s="18" t="s">
        <v>508</v>
      </c>
      <c r="D313" s="18" t="s">
        <v>164</v>
      </c>
      <c r="E313" s="19" t="s">
        <v>703</v>
      </c>
      <c r="F313" s="18" t="s">
        <v>2631</v>
      </c>
      <c r="G313" s="18" t="n">
        <v>0.07</v>
      </c>
      <c r="H313" s="18"/>
      <c r="I313" s="19" t="s">
        <v>2639</v>
      </c>
      <c r="J313" s="18"/>
    </row>
    <row r="314" customFormat="false" ht="15" hidden="false" customHeight="false" outlineLevel="0" collapsed="false">
      <c r="A314" s="18" t="s">
        <v>704</v>
      </c>
      <c r="B314" s="18" t="s">
        <v>47</v>
      </c>
      <c r="C314" s="18" t="s">
        <v>508</v>
      </c>
      <c r="D314" s="18" t="s">
        <v>478</v>
      </c>
      <c r="E314" s="19" t="s">
        <v>705</v>
      </c>
      <c r="F314" s="18" t="s">
        <v>2624</v>
      </c>
      <c r="G314" s="18" t="n">
        <v>1</v>
      </c>
      <c r="H314" s="18" t="s">
        <v>2625</v>
      </c>
      <c r="I314" s="19"/>
      <c r="J314" s="18"/>
    </row>
    <row r="315" customFormat="false" ht="32.8" hidden="false" customHeight="false" outlineLevel="0" collapsed="false">
      <c r="A315" s="18" t="s">
        <v>706</v>
      </c>
      <c r="B315" s="18" t="s">
        <v>47</v>
      </c>
      <c r="C315" s="18" t="s">
        <v>508</v>
      </c>
      <c r="D315" s="18" t="s">
        <v>478</v>
      </c>
      <c r="E315" s="19" t="s">
        <v>707</v>
      </c>
      <c r="F315" s="18" t="s">
        <v>2624</v>
      </c>
      <c r="G315" s="18" t="n">
        <v>0.9</v>
      </c>
      <c r="H315" s="18" t="s">
        <v>2633</v>
      </c>
      <c r="I315" s="19"/>
      <c r="J315" s="18"/>
    </row>
    <row r="316" customFormat="false" ht="32.8" hidden="false" customHeight="false" outlineLevel="0" collapsed="false">
      <c r="A316" s="18" t="s">
        <v>708</v>
      </c>
      <c r="B316" s="18" t="s">
        <v>47</v>
      </c>
      <c r="C316" s="18" t="s">
        <v>508</v>
      </c>
      <c r="D316" s="18" t="s">
        <v>478</v>
      </c>
      <c r="E316" s="19" t="s">
        <v>709</v>
      </c>
      <c r="F316" s="18" t="s">
        <v>2648</v>
      </c>
      <c r="G316" s="18" t="n">
        <v>0.25</v>
      </c>
      <c r="H316" s="18"/>
      <c r="I316" s="19" t="s">
        <v>2649</v>
      </c>
      <c r="J316" s="18"/>
    </row>
    <row r="317" customFormat="false" ht="32.8" hidden="false" customHeight="false" outlineLevel="0" collapsed="false">
      <c r="A317" s="18" t="s">
        <v>710</v>
      </c>
      <c r="B317" s="18" t="s">
        <v>47</v>
      </c>
      <c r="C317" s="18" t="s">
        <v>508</v>
      </c>
      <c r="D317" s="18" t="s">
        <v>478</v>
      </c>
      <c r="E317" s="19" t="s">
        <v>711</v>
      </c>
      <c r="F317" s="18" t="s">
        <v>2648</v>
      </c>
      <c r="G317" s="18" t="n">
        <v>0.14</v>
      </c>
      <c r="H317" s="18"/>
      <c r="I317" s="19" t="s">
        <v>2649</v>
      </c>
      <c r="J317" s="18"/>
    </row>
    <row r="318" customFormat="false" ht="32.8" hidden="false" customHeight="false" outlineLevel="0" collapsed="false">
      <c r="A318" s="18" t="s">
        <v>712</v>
      </c>
      <c r="B318" s="18" t="s">
        <v>47</v>
      </c>
      <c r="C318" s="18" t="s">
        <v>508</v>
      </c>
      <c r="D318" s="18" t="s">
        <v>478</v>
      </c>
      <c r="E318" s="19" t="s">
        <v>713</v>
      </c>
      <c r="F318" s="18" t="s">
        <v>2624</v>
      </c>
      <c r="G318" s="18" t="n">
        <v>0.86</v>
      </c>
      <c r="H318" s="18" t="s">
        <v>2633</v>
      </c>
      <c r="I318" s="19"/>
      <c r="J318" s="18"/>
    </row>
    <row r="319" customFormat="false" ht="32.8" hidden="false" customHeight="false" outlineLevel="0" collapsed="false">
      <c r="A319" s="18" t="s">
        <v>714</v>
      </c>
      <c r="B319" s="18" t="s">
        <v>47</v>
      </c>
      <c r="C319" s="18" t="s">
        <v>508</v>
      </c>
      <c r="D319" s="18" t="s">
        <v>478</v>
      </c>
      <c r="E319" s="19" t="s">
        <v>715</v>
      </c>
      <c r="F319" s="18" t="s">
        <v>2630</v>
      </c>
      <c r="G319" s="18" t="n">
        <v>0.74</v>
      </c>
      <c r="H319" s="18" t="s">
        <v>2633</v>
      </c>
      <c r="I319" s="19"/>
      <c r="J319" s="18"/>
    </row>
    <row r="320" customFormat="false" ht="15" hidden="false" customHeight="false" outlineLevel="0" collapsed="false">
      <c r="A320" s="18" t="s">
        <v>716</v>
      </c>
      <c r="B320" s="18" t="s">
        <v>47</v>
      </c>
      <c r="C320" s="18" t="s">
        <v>508</v>
      </c>
      <c r="D320" s="18" t="s">
        <v>478</v>
      </c>
      <c r="E320" s="19" t="s">
        <v>491</v>
      </c>
      <c r="F320" s="18" t="s">
        <v>2624</v>
      </c>
      <c r="G320" s="18" t="n">
        <v>1</v>
      </c>
      <c r="H320" s="18" t="s">
        <v>2650</v>
      </c>
      <c r="I320" s="19"/>
      <c r="J320" s="18"/>
    </row>
    <row r="321" customFormat="false" ht="32.8" hidden="false" customHeight="false" outlineLevel="0" collapsed="false">
      <c r="A321" s="18" t="s">
        <v>717</v>
      </c>
      <c r="B321" s="18" t="s">
        <v>47</v>
      </c>
      <c r="C321" s="18" t="s">
        <v>508</v>
      </c>
      <c r="D321" s="18" t="s">
        <v>478</v>
      </c>
      <c r="E321" s="19" t="s">
        <v>718</v>
      </c>
      <c r="F321" s="18" t="s">
        <v>2624</v>
      </c>
      <c r="G321" s="18" t="n">
        <v>1</v>
      </c>
      <c r="H321" s="18" t="s">
        <v>2654</v>
      </c>
      <c r="I321" s="19"/>
      <c r="J321" s="18"/>
    </row>
    <row r="322" customFormat="false" ht="15" hidden="false" customHeight="false" outlineLevel="0" collapsed="false">
      <c r="A322" s="18" t="s">
        <v>719</v>
      </c>
      <c r="B322" s="18" t="s">
        <v>47</v>
      </c>
      <c r="C322" s="18" t="s">
        <v>508</v>
      </c>
      <c r="D322" s="18" t="s">
        <v>478</v>
      </c>
      <c r="E322" s="19" t="s">
        <v>720</v>
      </c>
      <c r="F322" s="18" t="s">
        <v>2624</v>
      </c>
      <c r="G322" s="18" t="n">
        <v>1</v>
      </c>
      <c r="H322" s="18" t="s">
        <v>2650</v>
      </c>
      <c r="I322" s="19"/>
      <c r="J322" s="18"/>
    </row>
    <row r="323" customFormat="false" ht="22.35" hidden="false" customHeight="false" outlineLevel="0" collapsed="false">
      <c r="A323" s="18" t="s">
        <v>721</v>
      </c>
      <c r="B323" s="18" t="s">
        <v>47</v>
      </c>
      <c r="C323" s="18" t="s">
        <v>508</v>
      </c>
      <c r="D323" s="18" t="s">
        <v>478</v>
      </c>
      <c r="E323" s="19" t="s">
        <v>722</v>
      </c>
      <c r="F323" s="18" t="s">
        <v>2624</v>
      </c>
      <c r="G323" s="18" t="n">
        <v>1</v>
      </c>
      <c r="H323" s="18" t="s">
        <v>2654</v>
      </c>
      <c r="I323" s="19"/>
      <c r="J323" s="18"/>
    </row>
    <row r="324" customFormat="false" ht="22.35" hidden="false" customHeight="false" outlineLevel="0" collapsed="false">
      <c r="A324" s="18" t="s">
        <v>723</v>
      </c>
      <c r="B324" s="18" t="s">
        <v>47</v>
      </c>
      <c r="C324" s="18" t="s">
        <v>508</v>
      </c>
      <c r="D324" s="18" t="s">
        <v>478</v>
      </c>
      <c r="E324" s="19" t="s">
        <v>724</v>
      </c>
      <c r="F324" s="18" t="s">
        <v>2624</v>
      </c>
      <c r="G324" s="18" t="n">
        <v>1</v>
      </c>
      <c r="H324" s="18" t="s">
        <v>2654</v>
      </c>
      <c r="I324" s="19"/>
      <c r="J324" s="18"/>
    </row>
    <row r="325" customFormat="false" ht="15" hidden="false" customHeight="false" outlineLevel="0" collapsed="false">
      <c r="A325" s="18" t="s">
        <v>725</v>
      </c>
      <c r="B325" s="18" t="s">
        <v>47</v>
      </c>
      <c r="C325" s="18" t="s">
        <v>508</v>
      </c>
      <c r="D325" s="18" t="s">
        <v>478</v>
      </c>
      <c r="E325" s="19" t="s">
        <v>726</v>
      </c>
      <c r="F325" s="18" t="s">
        <v>2624</v>
      </c>
      <c r="G325" s="18" t="n">
        <v>1</v>
      </c>
      <c r="H325" s="18" t="s">
        <v>2654</v>
      </c>
      <c r="I325" s="19"/>
      <c r="J325" s="18"/>
    </row>
    <row r="326" customFormat="false" ht="22.35" hidden="false" customHeight="false" outlineLevel="0" collapsed="false">
      <c r="A326" s="18" t="s">
        <v>727</v>
      </c>
      <c r="B326" s="18" t="s">
        <v>47</v>
      </c>
      <c r="C326" s="18" t="s">
        <v>508</v>
      </c>
      <c r="D326" s="18" t="s">
        <v>478</v>
      </c>
      <c r="E326" s="19" t="s">
        <v>728</v>
      </c>
      <c r="F326" s="18" t="s">
        <v>2624</v>
      </c>
      <c r="G326" s="18" t="n">
        <v>1</v>
      </c>
      <c r="H326" s="18" t="s">
        <v>2625</v>
      </c>
      <c r="I326" s="19"/>
      <c r="J326" s="18"/>
    </row>
    <row r="327" customFormat="false" ht="22.35" hidden="false" customHeight="false" outlineLevel="0" collapsed="false">
      <c r="A327" s="18" t="s">
        <v>729</v>
      </c>
      <c r="B327" s="18" t="s">
        <v>49</v>
      </c>
      <c r="C327" s="18" t="s">
        <v>731</v>
      </c>
      <c r="D327" s="18" t="s">
        <v>158</v>
      </c>
      <c r="E327" s="19" t="s">
        <v>730</v>
      </c>
      <c r="F327" s="18" t="s">
        <v>2631</v>
      </c>
      <c r="G327" s="18" t="n">
        <v>1</v>
      </c>
      <c r="H327" s="18" t="s">
        <v>2625</v>
      </c>
      <c r="I327" s="19" t="s">
        <v>2655</v>
      </c>
      <c r="J327" s="18"/>
    </row>
    <row r="328" customFormat="false" ht="22.35" hidden="false" customHeight="false" outlineLevel="0" collapsed="false">
      <c r="A328" s="18" t="s">
        <v>732</v>
      </c>
      <c r="B328" s="18" t="s">
        <v>49</v>
      </c>
      <c r="C328" s="18" t="s">
        <v>731</v>
      </c>
      <c r="D328" s="18" t="s">
        <v>158</v>
      </c>
      <c r="E328" s="19" t="s">
        <v>733</v>
      </c>
      <c r="F328" s="18" t="s">
        <v>2631</v>
      </c>
      <c r="G328" s="18" t="n">
        <v>0</v>
      </c>
      <c r="H328" s="18"/>
      <c r="I328" s="19" t="s">
        <v>2655</v>
      </c>
      <c r="J328" s="18"/>
    </row>
    <row r="329" customFormat="false" ht="15" hidden="false" customHeight="false" outlineLevel="0" collapsed="false">
      <c r="A329" s="18" t="s">
        <v>734</v>
      </c>
      <c r="B329" s="18" t="s">
        <v>49</v>
      </c>
      <c r="C329" s="18" t="s">
        <v>731</v>
      </c>
      <c r="D329" s="18" t="s">
        <v>93</v>
      </c>
      <c r="E329" s="19" t="s">
        <v>92</v>
      </c>
      <c r="F329" s="18" t="s">
        <v>2624</v>
      </c>
      <c r="G329" s="18" t="n">
        <v>1</v>
      </c>
      <c r="H329" s="18" t="s">
        <v>2625</v>
      </c>
      <c r="I329" s="19"/>
      <c r="J329" s="18"/>
    </row>
    <row r="330" customFormat="false" ht="15" hidden="false" customHeight="false" outlineLevel="0" collapsed="false">
      <c r="A330" s="18" t="s">
        <v>735</v>
      </c>
      <c r="B330" s="18" t="s">
        <v>49</v>
      </c>
      <c r="C330" s="18" t="s">
        <v>731</v>
      </c>
      <c r="D330" s="18" t="s">
        <v>93</v>
      </c>
      <c r="E330" s="19" t="s">
        <v>99</v>
      </c>
      <c r="F330" s="18" t="s">
        <v>2627</v>
      </c>
      <c r="G330" s="18" t="n">
        <v>0</v>
      </c>
      <c r="H330" s="18"/>
      <c r="I330" s="19" t="s">
        <v>2628</v>
      </c>
      <c r="J330" s="18"/>
    </row>
    <row r="331" customFormat="false" ht="15" hidden="false" customHeight="false" outlineLevel="0" collapsed="false">
      <c r="A331" s="18" t="s">
        <v>736</v>
      </c>
      <c r="B331" s="18" t="s">
        <v>49</v>
      </c>
      <c r="C331" s="18" t="s">
        <v>731</v>
      </c>
      <c r="D331" s="18" t="s">
        <v>93</v>
      </c>
      <c r="E331" s="19" t="s">
        <v>737</v>
      </c>
      <c r="F331" s="18" t="s">
        <v>2627</v>
      </c>
      <c r="G331" s="18" t="n">
        <v>0</v>
      </c>
      <c r="H331" s="18"/>
      <c r="I331" s="19" t="s">
        <v>2628</v>
      </c>
      <c r="J331" s="18"/>
    </row>
    <row r="332" customFormat="false" ht="15" hidden="false" customHeight="false" outlineLevel="0" collapsed="false">
      <c r="A332" s="18" t="s">
        <v>738</v>
      </c>
      <c r="B332" s="18" t="s">
        <v>49</v>
      </c>
      <c r="C332" s="18" t="s">
        <v>731</v>
      </c>
      <c r="D332" s="18" t="s">
        <v>93</v>
      </c>
      <c r="E332" s="19" t="s">
        <v>516</v>
      </c>
      <c r="F332" s="18" t="s">
        <v>2627</v>
      </c>
      <c r="G332" s="18" t="n">
        <v>0</v>
      </c>
      <c r="H332" s="18"/>
      <c r="I332" s="19" t="s">
        <v>2628</v>
      </c>
      <c r="J332" s="18"/>
    </row>
    <row r="333" customFormat="false" ht="15" hidden="false" customHeight="false" outlineLevel="0" collapsed="false">
      <c r="A333" s="18" t="s">
        <v>739</v>
      </c>
      <c r="B333" s="18" t="s">
        <v>49</v>
      </c>
      <c r="C333" s="18" t="s">
        <v>731</v>
      </c>
      <c r="D333" s="18" t="s">
        <v>93</v>
      </c>
      <c r="E333" s="19" t="s">
        <v>740</v>
      </c>
      <c r="F333" s="18" t="s">
        <v>2627</v>
      </c>
      <c r="G333" s="18" t="n">
        <v>0.5</v>
      </c>
      <c r="H333" s="18" t="s">
        <v>2625</v>
      </c>
      <c r="I333" s="19" t="s">
        <v>2628</v>
      </c>
      <c r="J333" s="18"/>
    </row>
    <row r="334" customFormat="false" ht="22.35" hidden="false" customHeight="false" outlineLevel="0" collapsed="false">
      <c r="A334" s="18" t="s">
        <v>741</v>
      </c>
      <c r="B334" s="18" t="s">
        <v>49</v>
      </c>
      <c r="C334" s="18" t="s">
        <v>731</v>
      </c>
      <c r="D334" s="18" t="s">
        <v>93</v>
      </c>
      <c r="E334" s="19" t="s">
        <v>742</v>
      </c>
      <c r="F334" s="18" t="s">
        <v>2627</v>
      </c>
      <c r="G334" s="18" t="n">
        <v>0</v>
      </c>
      <c r="H334" s="18"/>
      <c r="I334" s="19" t="s">
        <v>2628</v>
      </c>
      <c r="J334" s="18"/>
    </row>
    <row r="335" customFormat="false" ht="22.35" hidden="false" customHeight="false" outlineLevel="0" collapsed="false">
      <c r="A335" s="18" t="s">
        <v>743</v>
      </c>
      <c r="B335" s="18" t="s">
        <v>49</v>
      </c>
      <c r="C335" s="18" t="s">
        <v>731</v>
      </c>
      <c r="D335" s="18" t="s">
        <v>93</v>
      </c>
      <c r="E335" s="19" t="s">
        <v>272</v>
      </c>
      <c r="F335" s="18" t="s">
        <v>2627</v>
      </c>
      <c r="G335" s="18" t="n">
        <v>0.31</v>
      </c>
      <c r="H335" s="18" t="s">
        <v>2625</v>
      </c>
      <c r="I335" s="19" t="s">
        <v>2628</v>
      </c>
      <c r="J335" s="18"/>
    </row>
    <row r="336" customFormat="false" ht="43.25" hidden="false" customHeight="false" outlineLevel="0" collapsed="false">
      <c r="A336" s="18" t="s">
        <v>744</v>
      </c>
      <c r="B336" s="18" t="s">
        <v>49</v>
      </c>
      <c r="C336" s="18" t="s">
        <v>731</v>
      </c>
      <c r="D336" s="18" t="s">
        <v>93</v>
      </c>
      <c r="E336" s="19" t="s">
        <v>745</v>
      </c>
      <c r="F336" s="18" t="s">
        <v>2627</v>
      </c>
      <c r="G336" s="18" t="n">
        <v>0.25</v>
      </c>
      <c r="H336" s="18"/>
      <c r="I336" s="19" t="s">
        <v>2628</v>
      </c>
      <c r="J336" s="18"/>
    </row>
    <row r="337" customFormat="false" ht="15" hidden="false" customHeight="false" outlineLevel="0" collapsed="false">
      <c r="A337" s="18" t="s">
        <v>746</v>
      </c>
      <c r="B337" s="18" t="s">
        <v>49</v>
      </c>
      <c r="C337" s="18" t="s">
        <v>731</v>
      </c>
      <c r="D337" s="18" t="s">
        <v>93</v>
      </c>
      <c r="E337" s="19" t="s">
        <v>525</v>
      </c>
      <c r="F337" s="18" t="s">
        <v>2624</v>
      </c>
      <c r="G337" s="18" t="n">
        <v>1</v>
      </c>
      <c r="H337" s="18" t="s">
        <v>2625</v>
      </c>
      <c r="I337" s="19"/>
      <c r="J337" s="18"/>
    </row>
    <row r="338" customFormat="false" ht="15" hidden="false" customHeight="false" outlineLevel="0" collapsed="false">
      <c r="A338" s="18" t="s">
        <v>747</v>
      </c>
      <c r="B338" s="18" t="s">
        <v>49</v>
      </c>
      <c r="C338" s="18" t="s">
        <v>731</v>
      </c>
      <c r="D338" s="18" t="s">
        <v>93</v>
      </c>
      <c r="E338" s="19" t="s">
        <v>115</v>
      </c>
      <c r="F338" s="18" t="s">
        <v>2627</v>
      </c>
      <c r="G338" s="18" t="n">
        <v>0</v>
      </c>
      <c r="H338" s="18"/>
      <c r="I338" s="19" t="s">
        <v>2628</v>
      </c>
      <c r="J338" s="18"/>
    </row>
    <row r="339" customFormat="false" ht="15" hidden="false" customHeight="false" outlineLevel="0" collapsed="false">
      <c r="A339" s="18" t="s">
        <v>748</v>
      </c>
      <c r="B339" s="18" t="s">
        <v>49</v>
      </c>
      <c r="C339" s="18" t="s">
        <v>731</v>
      </c>
      <c r="D339" s="18" t="s">
        <v>93</v>
      </c>
      <c r="E339" s="19" t="s">
        <v>117</v>
      </c>
      <c r="F339" s="18" t="s">
        <v>2627</v>
      </c>
      <c r="G339" s="18" t="n">
        <v>0</v>
      </c>
      <c r="H339" s="18"/>
      <c r="I339" s="19" t="s">
        <v>2628</v>
      </c>
      <c r="J339" s="18"/>
    </row>
    <row r="340" customFormat="false" ht="15" hidden="false" customHeight="false" outlineLevel="0" collapsed="false">
      <c r="A340" s="18" t="s">
        <v>749</v>
      </c>
      <c r="B340" s="18" t="s">
        <v>49</v>
      </c>
      <c r="C340" s="18" t="s">
        <v>731</v>
      </c>
      <c r="D340" s="18" t="s">
        <v>93</v>
      </c>
      <c r="E340" s="19" t="s">
        <v>279</v>
      </c>
      <c r="F340" s="18" t="s">
        <v>2627</v>
      </c>
      <c r="G340" s="18" t="n">
        <v>0.1</v>
      </c>
      <c r="H340" s="18"/>
      <c r="I340" s="19" t="s">
        <v>2628</v>
      </c>
      <c r="J340" s="18"/>
    </row>
    <row r="341" customFormat="false" ht="15" hidden="false" customHeight="false" outlineLevel="0" collapsed="false">
      <c r="A341" s="18" t="s">
        <v>750</v>
      </c>
      <c r="B341" s="18" t="s">
        <v>49</v>
      </c>
      <c r="C341" s="18" t="s">
        <v>731</v>
      </c>
      <c r="D341" s="18" t="s">
        <v>93</v>
      </c>
      <c r="E341" s="19" t="s">
        <v>751</v>
      </c>
      <c r="F341" s="18" t="s">
        <v>2627</v>
      </c>
      <c r="G341" s="18" t="n">
        <v>0.7</v>
      </c>
      <c r="H341" s="18" t="s">
        <v>2656</v>
      </c>
      <c r="I341" s="19" t="s">
        <v>2628</v>
      </c>
      <c r="J341" s="18"/>
    </row>
    <row r="342" customFormat="false" ht="15" hidden="false" customHeight="false" outlineLevel="0" collapsed="false">
      <c r="A342" s="18" t="s">
        <v>752</v>
      </c>
      <c r="B342" s="18" t="s">
        <v>49</v>
      </c>
      <c r="C342" s="18" t="s">
        <v>731</v>
      </c>
      <c r="D342" s="18" t="s">
        <v>93</v>
      </c>
      <c r="E342" s="19" t="s">
        <v>753</v>
      </c>
      <c r="F342" s="18" t="s">
        <v>2627</v>
      </c>
      <c r="G342" s="18" t="n">
        <v>0.67</v>
      </c>
      <c r="H342" s="18" t="s">
        <v>2656</v>
      </c>
      <c r="I342" s="19" t="s">
        <v>2628</v>
      </c>
      <c r="J342" s="18"/>
    </row>
    <row r="343" customFormat="false" ht="15" hidden="false" customHeight="false" outlineLevel="0" collapsed="false">
      <c r="A343" s="18" t="s">
        <v>754</v>
      </c>
      <c r="B343" s="18" t="s">
        <v>49</v>
      </c>
      <c r="C343" s="18" t="s">
        <v>731</v>
      </c>
      <c r="D343" s="18" t="s">
        <v>93</v>
      </c>
      <c r="E343" s="19" t="s">
        <v>755</v>
      </c>
      <c r="F343" s="18" t="s">
        <v>2624</v>
      </c>
      <c r="G343" s="18" t="n">
        <v>1</v>
      </c>
      <c r="H343" s="18" t="s">
        <v>2625</v>
      </c>
      <c r="I343" s="19"/>
      <c r="J343" s="18"/>
    </row>
    <row r="344" customFormat="false" ht="15" hidden="false" customHeight="false" outlineLevel="0" collapsed="false">
      <c r="A344" s="18" t="s">
        <v>756</v>
      </c>
      <c r="B344" s="18" t="s">
        <v>49</v>
      </c>
      <c r="C344" s="18" t="s">
        <v>731</v>
      </c>
      <c r="D344" s="18" t="s">
        <v>93</v>
      </c>
      <c r="E344" s="19" t="s">
        <v>287</v>
      </c>
      <c r="F344" s="18" t="s">
        <v>2624</v>
      </c>
      <c r="G344" s="18" t="n">
        <v>1</v>
      </c>
      <c r="H344" s="18" t="s">
        <v>2625</v>
      </c>
      <c r="I344" s="19"/>
      <c r="J344" s="18"/>
    </row>
    <row r="345" customFormat="false" ht="15" hidden="false" customHeight="false" outlineLevel="0" collapsed="false">
      <c r="A345" s="18" t="s">
        <v>757</v>
      </c>
      <c r="B345" s="18" t="s">
        <v>49</v>
      </c>
      <c r="C345" s="18" t="s">
        <v>731</v>
      </c>
      <c r="D345" s="18" t="s">
        <v>93</v>
      </c>
      <c r="E345" s="19" t="s">
        <v>539</v>
      </c>
      <c r="F345" s="18" t="s">
        <v>2627</v>
      </c>
      <c r="G345" s="18" t="n">
        <v>0</v>
      </c>
      <c r="H345" s="18"/>
      <c r="I345" s="19" t="s">
        <v>2628</v>
      </c>
      <c r="J345" s="18"/>
    </row>
    <row r="346" customFormat="false" ht="15" hidden="false" customHeight="false" outlineLevel="0" collapsed="false">
      <c r="A346" s="18" t="s">
        <v>758</v>
      </c>
      <c r="B346" s="18" t="s">
        <v>49</v>
      </c>
      <c r="C346" s="18" t="s">
        <v>731</v>
      </c>
      <c r="D346" s="18" t="s">
        <v>93</v>
      </c>
      <c r="E346" s="19" t="s">
        <v>759</v>
      </c>
      <c r="F346" s="18" t="s">
        <v>2627</v>
      </c>
      <c r="G346" s="18" t="n">
        <v>0.17</v>
      </c>
      <c r="H346" s="18"/>
      <c r="I346" s="19" t="s">
        <v>2628</v>
      </c>
      <c r="J346" s="18"/>
    </row>
    <row r="347" customFormat="false" ht="15" hidden="false" customHeight="false" outlineLevel="0" collapsed="false">
      <c r="A347" s="18" t="s">
        <v>760</v>
      </c>
      <c r="B347" s="18" t="s">
        <v>49</v>
      </c>
      <c r="C347" s="18" t="s">
        <v>731</v>
      </c>
      <c r="D347" s="18" t="s">
        <v>93</v>
      </c>
      <c r="E347" s="19" t="s">
        <v>130</v>
      </c>
      <c r="F347" s="18" t="s">
        <v>2627</v>
      </c>
      <c r="G347" s="18" t="n">
        <v>0</v>
      </c>
      <c r="H347" s="18"/>
      <c r="I347" s="19" t="s">
        <v>2628</v>
      </c>
      <c r="J347" s="18"/>
    </row>
    <row r="348" customFormat="false" ht="15" hidden="false" customHeight="false" outlineLevel="0" collapsed="false">
      <c r="A348" s="18" t="s">
        <v>761</v>
      </c>
      <c r="B348" s="18" t="s">
        <v>49</v>
      </c>
      <c r="C348" s="18" t="s">
        <v>731</v>
      </c>
      <c r="D348" s="18" t="s">
        <v>93</v>
      </c>
      <c r="E348" s="19" t="s">
        <v>762</v>
      </c>
      <c r="F348" s="18" t="s">
        <v>2627</v>
      </c>
      <c r="G348" s="18" t="n">
        <v>0.43</v>
      </c>
      <c r="H348" s="18" t="s">
        <v>2625</v>
      </c>
      <c r="I348" s="19" t="s">
        <v>2628</v>
      </c>
      <c r="J348" s="18"/>
    </row>
    <row r="349" customFormat="false" ht="22.35" hidden="false" customHeight="false" outlineLevel="0" collapsed="false">
      <c r="A349" s="18" t="s">
        <v>763</v>
      </c>
      <c r="B349" s="18" t="s">
        <v>49</v>
      </c>
      <c r="C349" s="18" t="s">
        <v>731</v>
      </c>
      <c r="D349" s="18" t="s">
        <v>93</v>
      </c>
      <c r="E349" s="19" t="s">
        <v>764</v>
      </c>
      <c r="F349" s="18" t="s">
        <v>2627</v>
      </c>
      <c r="G349" s="18" t="n">
        <v>0.36</v>
      </c>
      <c r="H349" s="18" t="s">
        <v>2625</v>
      </c>
      <c r="I349" s="19" t="s">
        <v>2628</v>
      </c>
      <c r="J349" s="18"/>
    </row>
    <row r="350" customFormat="false" ht="22.35" hidden="false" customHeight="false" outlineLevel="0" collapsed="false">
      <c r="A350" s="18" t="s">
        <v>765</v>
      </c>
      <c r="B350" s="18" t="s">
        <v>49</v>
      </c>
      <c r="C350" s="18" t="s">
        <v>731</v>
      </c>
      <c r="D350" s="18" t="s">
        <v>93</v>
      </c>
      <c r="E350" s="19" t="s">
        <v>766</v>
      </c>
      <c r="F350" s="18" t="s">
        <v>2627</v>
      </c>
      <c r="G350" s="18" t="n">
        <v>0.14</v>
      </c>
      <c r="H350" s="18"/>
      <c r="I350" s="19" t="s">
        <v>2628</v>
      </c>
      <c r="J350" s="18"/>
    </row>
    <row r="351" customFormat="false" ht="15" hidden="false" customHeight="false" outlineLevel="0" collapsed="false">
      <c r="A351" s="18" t="s">
        <v>767</v>
      </c>
      <c r="B351" s="18" t="s">
        <v>49</v>
      </c>
      <c r="C351" s="18" t="s">
        <v>731</v>
      </c>
      <c r="D351" s="18" t="s">
        <v>93</v>
      </c>
      <c r="E351" s="19" t="s">
        <v>301</v>
      </c>
      <c r="F351" s="18" t="s">
        <v>2627</v>
      </c>
      <c r="G351" s="18" t="n">
        <v>0.25</v>
      </c>
      <c r="H351" s="18"/>
      <c r="I351" s="19" t="s">
        <v>2628</v>
      </c>
      <c r="J351" s="18"/>
    </row>
    <row r="352" customFormat="false" ht="15" hidden="false" customHeight="false" outlineLevel="0" collapsed="false">
      <c r="A352" s="18" t="s">
        <v>768</v>
      </c>
      <c r="B352" s="18" t="s">
        <v>49</v>
      </c>
      <c r="C352" s="18" t="s">
        <v>731</v>
      </c>
      <c r="D352" s="18" t="s">
        <v>93</v>
      </c>
      <c r="E352" s="19" t="s">
        <v>769</v>
      </c>
      <c r="F352" s="18" t="s">
        <v>2627</v>
      </c>
      <c r="G352" s="18" t="n">
        <v>0</v>
      </c>
      <c r="H352" s="18"/>
      <c r="I352" s="19" t="s">
        <v>2628</v>
      </c>
      <c r="J352" s="18"/>
    </row>
    <row r="353" customFormat="false" ht="22.35" hidden="false" customHeight="false" outlineLevel="0" collapsed="false">
      <c r="A353" s="18" t="s">
        <v>770</v>
      </c>
      <c r="B353" s="18" t="s">
        <v>49</v>
      </c>
      <c r="C353" s="18" t="s">
        <v>731</v>
      </c>
      <c r="D353" s="18" t="s">
        <v>93</v>
      </c>
      <c r="E353" s="19" t="s">
        <v>771</v>
      </c>
      <c r="F353" s="18" t="s">
        <v>2627</v>
      </c>
      <c r="G353" s="18" t="n">
        <v>0.06</v>
      </c>
      <c r="H353" s="18"/>
      <c r="I353" s="19" t="s">
        <v>2628</v>
      </c>
      <c r="J353" s="18"/>
    </row>
    <row r="354" customFormat="false" ht="22.35" hidden="false" customHeight="false" outlineLevel="0" collapsed="false">
      <c r="A354" s="18" t="s">
        <v>772</v>
      </c>
      <c r="B354" s="18" t="s">
        <v>49</v>
      </c>
      <c r="C354" s="18" t="s">
        <v>731</v>
      </c>
      <c r="D354" s="18" t="s">
        <v>93</v>
      </c>
      <c r="E354" s="19" t="s">
        <v>773</v>
      </c>
      <c r="F354" s="18" t="s">
        <v>2627</v>
      </c>
      <c r="G354" s="18" t="n">
        <v>0.29</v>
      </c>
      <c r="H354" s="18"/>
      <c r="I354" s="19" t="s">
        <v>2628</v>
      </c>
      <c r="J354" s="18"/>
    </row>
    <row r="355" customFormat="false" ht="15" hidden="false" customHeight="false" outlineLevel="0" collapsed="false">
      <c r="A355" s="18" t="s">
        <v>774</v>
      </c>
      <c r="B355" s="18" t="s">
        <v>49</v>
      </c>
      <c r="C355" s="18" t="s">
        <v>731</v>
      </c>
      <c r="D355" s="18" t="s">
        <v>93</v>
      </c>
      <c r="E355" s="19" t="s">
        <v>309</v>
      </c>
      <c r="F355" s="18" t="s">
        <v>2624</v>
      </c>
      <c r="G355" s="18" t="n">
        <v>1</v>
      </c>
      <c r="H355" s="18" t="s">
        <v>2625</v>
      </c>
      <c r="I355" s="19"/>
      <c r="J355" s="18"/>
    </row>
    <row r="356" customFormat="false" ht="15" hidden="false" customHeight="false" outlineLevel="0" collapsed="false">
      <c r="A356" s="18" t="s">
        <v>775</v>
      </c>
      <c r="B356" s="18" t="s">
        <v>49</v>
      </c>
      <c r="C356" s="18" t="s">
        <v>731</v>
      </c>
      <c r="D356" s="18" t="s">
        <v>93</v>
      </c>
      <c r="E356" s="19" t="s">
        <v>311</v>
      </c>
      <c r="F356" s="18" t="s">
        <v>2627</v>
      </c>
      <c r="G356" s="18" t="n">
        <v>0</v>
      </c>
      <c r="H356" s="18"/>
      <c r="I356" s="19" t="s">
        <v>2628</v>
      </c>
      <c r="J356" s="18"/>
    </row>
    <row r="357" customFormat="false" ht="15" hidden="false" customHeight="false" outlineLevel="0" collapsed="false">
      <c r="A357" s="18" t="s">
        <v>776</v>
      </c>
      <c r="B357" s="18" t="s">
        <v>49</v>
      </c>
      <c r="C357" s="18" t="s">
        <v>731</v>
      </c>
      <c r="D357" s="18" t="s">
        <v>93</v>
      </c>
      <c r="E357" s="19" t="s">
        <v>777</v>
      </c>
      <c r="F357" s="18" t="s">
        <v>2627</v>
      </c>
      <c r="G357" s="18" t="n">
        <v>0.67</v>
      </c>
      <c r="H357" s="18" t="s">
        <v>2625</v>
      </c>
      <c r="I357" s="19" t="s">
        <v>2628</v>
      </c>
      <c r="J357" s="18"/>
    </row>
    <row r="358" customFormat="false" ht="15" hidden="false" customHeight="false" outlineLevel="0" collapsed="false">
      <c r="A358" s="18" t="s">
        <v>778</v>
      </c>
      <c r="B358" s="18" t="s">
        <v>49</v>
      </c>
      <c r="C358" s="18" t="s">
        <v>731</v>
      </c>
      <c r="D358" s="18" t="s">
        <v>93</v>
      </c>
      <c r="E358" s="19" t="s">
        <v>779</v>
      </c>
      <c r="F358" s="18" t="s">
        <v>2627</v>
      </c>
      <c r="G358" s="18" t="n">
        <v>0</v>
      </c>
      <c r="H358" s="18"/>
      <c r="I358" s="19" t="s">
        <v>2628</v>
      </c>
      <c r="J358" s="18"/>
    </row>
    <row r="359" customFormat="false" ht="22.35" hidden="false" customHeight="false" outlineLevel="0" collapsed="false">
      <c r="A359" s="18" t="s">
        <v>780</v>
      </c>
      <c r="B359" s="18" t="s">
        <v>49</v>
      </c>
      <c r="C359" s="18" t="s">
        <v>731</v>
      </c>
      <c r="D359" s="18" t="s">
        <v>93</v>
      </c>
      <c r="E359" s="19" t="s">
        <v>781</v>
      </c>
      <c r="F359" s="18" t="s">
        <v>2627</v>
      </c>
      <c r="G359" s="18" t="n">
        <v>0.1</v>
      </c>
      <c r="H359" s="18"/>
      <c r="I359" s="19" t="s">
        <v>2628</v>
      </c>
      <c r="J359" s="18"/>
    </row>
    <row r="360" customFormat="false" ht="22.35" hidden="false" customHeight="false" outlineLevel="0" collapsed="false">
      <c r="A360" s="18" t="s">
        <v>782</v>
      </c>
      <c r="B360" s="18" t="s">
        <v>49</v>
      </c>
      <c r="C360" s="18" t="s">
        <v>731</v>
      </c>
      <c r="D360" s="18" t="s">
        <v>93</v>
      </c>
      <c r="E360" s="19" t="s">
        <v>783</v>
      </c>
      <c r="F360" s="18" t="s">
        <v>2627</v>
      </c>
      <c r="G360" s="18" t="n">
        <v>0.13</v>
      </c>
      <c r="H360" s="18"/>
      <c r="I360" s="19" t="s">
        <v>2628</v>
      </c>
      <c r="J360" s="18"/>
    </row>
    <row r="361" customFormat="false" ht="32.8" hidden="false" customHeight="false" outlineLevel="0" collapsed="false">
      <c r="A361" s="18" t="s">
        <v>784</v>
      </c>
      <c r="B361" s="18" t="s">
        <v>49</v>
      </c>
      <c r="C361" s="18" t="s">
        <v>731</v>
      </c>
      <c r="D361" s="18" t="s">
        <v>93</v>
      </c>
      <c r="E361" s="19" t="s">
        <v>785</v>
      </c>
      <c r="F361" s="18" t="s">
        <v>2627</v>
      </c>
      <c r="G361" s="18" t="n">
        <v>0.2</v>
      </c>
      <c r="H361" s="18"/>
      <c r="I361" s="19" t="s">
        <v>2628</v>
      </c>
      <c r="J361" s="18"/>
    </row>
    <row r="362" customFormat="false" ht="22.35" hidden="false" customHeight="false" outlineLevel="0" collapsed="false">
      <c r="A362" s="18" t="s">
        <v>786</v>
      </c>
      <c r="B362" s="18" t="s">
        <v>49</v>
      </c>
      <c r="C362" s="18" t="s">
        <v>731</v>
      </c>
      <c r="D362" s="18" t="s">
        <v>93</v>
      </c>
      <c r="E362" s="19" t="s">
        <v>787</v>
      </c>
      <c r="F362" s="18" t="s">
        <v>2627</v>
      </c>
      <c r="G362" s="18" t="n">
        <v>0.4</v>
      </c>
      <c r="H362" s="18" t="s">
        <v>2625</v>
      </c>
      <c r="I362" s="19" t="s">
        <v>2628</v>
      </c>
      <c r="J362" s="18"/>
    </row>
    <row r="363" customFormat="false" ht="22.35" hidden="false" customHeight="false" outlineLevel="0" collapsed="false">
      <c r="A363" s="18" t="s">
        <v>788</v>
      </c>
      <c r="B363" s="18" t="s">
        <v>49</v>
      </c>
      <c r="C363" s="18" t="s">
        <v>731</v>
      </c>
      <c r="D363" s="18" t="s">
        <v>84</v>
      </c>
      <c r="E363" s="19" t="s">
        <v>331</v>
      </c>
      <c r="F363" s="18" t="s">
        <v>2631</v>
      </c>
      <c r="G363" s="18" t="n">
        <v>0.17</v>
      </c>
      <c r="H363" s="18"/>
      <c r="I363" s="19" t="s">
        <v>2639</v>
      </c>
      <c r="J363" s="18"/>
    </row>
    <row r="364" customFormat="false" ht="22.35" hidden="false" customHeight="false" outlineLevel="0" collapsed="false">
      <c r="A364" s="18" t="s">
        <v>789</v>
      </c>
      <c r="B364" s="18" t="s">
        <v>49</v>
      </c>
      <c r="C364" s="18" t="s">
        <v>731</v>
      </c>
      <c r="D364" s="18" t="s">
        <v>84</v>
      </c>
      <c r="E364" s="19" t="s">
        <v>573</v>
      </c>
      <c r="F364" s="18" t="s">
        <v>2631</v>
      </c>
      <c r="G364" s="18" t="n">
        <v>0.23</v>
      </c>
      <c r="H364" s="18"/>
      <c r="I364" s="19" t="s">
        <v>2639</v>
      </c>
      <c r="J364" s="18"/>
    </row>
    <row r="365" customFormat="false" ht="22.35" hidden="false" customHeight="false" outlineLevel="0" collapsed="false">
      <c r="A365" s="18" t="s">
        <v>790</v>
      </c>
      <c r="B365" s="18" t="s">
        <v>49</v>
      </c>
      <c r="C365" s="18" t="s">
        <v>731</v>
      </c>
      <c r="D365" s="18" t="s">
        <v>84</v>
      </c>
      <c r="E365" s="19" t="s">
        <v>791</v>
      </c>
      <c r="F365" s="18" t="s">
        <v>2631</v>
      </c>
      <c r="G365" s="18" t="n">
        <v>0</v>
      </c>
      <c r="H365" s="18"/>
      <c r="I365" s="19" t="s">
        <v>2639</v>
      </c>
      <c r="J365" s="18"/>
    </row>
    <row r="366" customFormat="false" ht="22.35" hidden="false" customHeight="false" outlineLevel="0" collapsed="false">
      <c r="A366" s="18" t="s">
        <v>792</v>
      </c>
      <c r="B366" s="18" t="s">
        <v>49</v>
      </c>
      <c r="C366" s="18" t="s">
        <v>731</v>
      </c>
      <c r="D366" s="18" t="s">
        <v>84</v>
      </c>
      <c r="E366" s="19" t="s">
        <v>793</v>
      </c>
      <c r="F366" s="18" t="s">
        <v>2631</v>
      </c>
      <c r="G366" s="18" t="n">
        <v>0.2</v>
      </c>
      <c r="H366" s="18"/>
      <c r="I366" s="19" t="s">
        <v>2639</v>
      </c>
      <c r="J366" s="18"/>
    </row>
    <row r="367" customFormat="false" ht="22.35" hidden="false" customHeight="false" outlineLevel="0" collapsed="false">
      <c r="A367" s="18" t="s">
        <v>794</v>
      </c>
      <c r="B367" s="18" t="s">
        <v>49</v>
      </c>
      <c r="C367" s="18" t="s">
        <v>731</v>
      </c>
      <c r="D367" s="18" t="s">
        <v>84</v>
      </c>
      <c r="E367" s="19" t="s">
        <v>795</v>
      </c>
      <c r="F367" s="18" t="s">
        <v>2631</v>
      </c>
      <c r="G367" s="18" t="n">
        <v>0.5</v>
      </c>
      <c r="H367" s="18" t="s">
        <v>2625</v>
      </c>
      <c r="I367" s="19" t="s">
        <v>2639</v>
      </c>
      <c r="J367" s="18"/>
    </row>
    <row r="368" customFormat="false" ht="22.35" hidden="false" customHeight="false" outlineLevel="0" collapsed="false">
      <c r="A368" s="18" t="s">
        <v>796</v>
      </c>
      <c r="B368" s="18" t="s">
        <v>49</v>
      </c>
      <c r="C368" s="18" t="s">
        <v>731</v>
      </c>
      <c r="D368" s="18" t="s">
        <v>84</v>
      </c>
      <c r="E368" s="19" t="s">
        <v>797</v>
      </c>
      <c r="F368" s="18" t="s">
        <v>2631</v>
      </c>
      <c r="G368" s="18" t="n">
        <v>0.45</v>
      </c>
      <c r="H368" s="18" t="s">
        <v>2625</v>
      </c>
      <c r="I368" s="19" t="s">
        <v>2639</v>
      </c>
      <c r="J368" s="18"/>
    </row>
    <row r="369" customFormat="false" ht="15" hidden="false" customHeight="false" outlineLevel="0" collapsed="false">
      <c r="A369" s="18" t="s">
        <v>798</v>
      </c>
      <c r="B369" s="18" t="s">
        <v>49</v>
      </c>
      <c r="C369" s="18" t="s">
        <v>731</v>
      </c>
      <c r="D369" s="18" t="s">
        <v>158</v>
      </c>
      <c r="E369" s="19" t="s">
        <v>799</v>
      </c>
      <c r="F369" s="18" t="s">
        <v>2624</v>
      </c>
      <c r="G369" s="18" t="n">
        <v>1</v>
      </c>
      <c r="H369" s="18" t="s">
        <v>2656</v>
      </c>
      <c r="I369" s="19"/>
      <c r="J369" s="18"/>
    </row>
    <row r="370" customFormat="false" ht="22.35" hidden="false" customHeight="false" outlineLevel="0" collapsed="false">
      <c r="A370" s="18" t="s">
        <v>800</v>
      </c>
      <c r="B370" s="18" t="s">
        <v>49</v>
      </c>
      <c r="C370" s="18" t="s">
        <v>731</v>
      </c>
      <c r="D370" s="18" t="s">
        <v>158</v>
      </c>
      <c r="E370" s="19" t="s">
        <v>801</v>
      </c>
      <c r="F370" s="18" t="s">
        <v>2624</v>
      </c>
      <c r="G370" s="18" t="n">
        <v>1</v>
      </c>
      <c r="H370" s="18" t="s">
        <v>2656</v>
      </c>
      <c r="I370" s="19"/>
      <c r="J370" s="18"/>
    </row>
    <row r="371" customFormat="false" ht="43.25" hidden="false" customHeight="false" outlineLevel="0" collapsed="false">
      <c r="A371" s="18" t="s">
        <v>802</v>
      </c>
      <c r="B371" s="18" t="s">
        <v>49</v>
      </c>
      <c r="C371" s="18" t="s">
        <v>731</v>
      </c>
      <c r="D371" s="18" t="s">
        <v>164</v>
      </c>
      <c r="E371" s="19" t="s">
        <v>803</v>
      </c>
      <c r="F371" s="18" t="s">
        <v>2624</v>
      </c>
      <c r="G371" s="18" t="n">
        <v>1</v>
      </c>
      <c r="H371" s="18" t="s">
        <v>2656</v>
      </c>
      <c r="I371" s="19"/>
      <c r="J371" s="18"/>
    </row>
    <row r="372" customFormat="false" ht="22.35" hidden="false" customHeight="false" outlineLevel="0" collapsed="false">
      <c r="A372" s="18" t="s">
        <v>804</v>
      </c>
      <c r="B372" s="18" t="s">
        <v>49</v>
      </c>
      <c r="C372" s="18" t="s">
        <v>731</v>
      </c>
      <c r="D372" s="18" t="s">
        <v>168</v>
      </c>
      <c r="E372" s="19" t="s">
        <v>167</v>
      </c>
      <c r="F372" s="18" t="s">
        <v>2631</v>
      </c>
      <c r="G372" s="18" t="n">
        <v>0</v>
      </c>
      <c r="H372" s="18"/>
      <c r="I372" s="19" t="s">
        <v>2632</v>
      </c>
      <c r="J372" s="18"/>
    </row>
    <row r="373" customFormat="false" ht="85.05" hidden="false" customHeight="false" outlineLevel="0" collapsed="false">
      <c r="A373" s="18" t="s">
        <v>805</v>
      </c>
      <c r="B373" s="18" t="s">
        <v>49</v>
      </c>
      <c r="C373" s="18" t="s">
        <v>731</v>
      </c>
      <c r="D373" s="18" t="s">
        <v>175</v>
      </c>
      <c r="E373" s="19" t="s">
        <v>806</v>
      </c>
      <c r="F373" s="18" t="s">
        <v>2624</v>
      </c>
      <c r="G373" s="18" t="n">
        <v>1</v>
      </c>
      <c r="H373" s="18" t="s">
        <v>2625</v>
      </c>
      <c r="I373" s="19"/>
      <c r="J373" s="18"/>
    </row>
    <row r="374" customFormat="false" ht="95.5" hidden="false" customHeight="false" outlineLevel="0" collapsed="false">
      <c r="A374" s="18" t="s">
        <v>807</v>
      </c>
      <c r="B374" s="18" t="s">
        <v>49</v>
      </c>
      <c r="C374" s="18" t="s">
        <v>731</v>
      </c>
      <c r="D374" s="18" t="s">
        <v>175</v>
      </c>
      <c r="E374" s="19" t="s">
        <v>808</v>
      </c>
      <c r="F374" s="18" t="s">
        <v>2624</v>
      </c>
      <c r="G374" s="18" t="n">
        <v>1</v>
      </c>
      <c r="H374" s="18" t="s">
        <v>2625</v>
      </c>
      <c r="I374" s="19"/>
      <c r="J374" s="18"/>
    </row>
    <row r="375" customFormat="false" ht="32.8" hidden="false" customHeight="false" outlineLevel="0" collapsed="false">
      <c r="A375" s="18" t="s">
        <v>809</v>
      </c>
      <c r="B375" s="18" t="s">
        <v>49</v>
      </c>
      <c r="C375" s="18" t="s">
        <v>731</v>
      </c>
      <c r="D375" s="18" t="s">
        <v>175</v>
      </c>
      <c r="E375" s="19" t="s">
        <v>810</v>
      </c>
      <c r="F375" s="18" t="s">
        <v>2624</v>
      </c>
      <c r="G375" s="18" t="n">
        <v>1</v>
      </c>
      <c r="H375" s="18" t="s">
        <v>2656</v>
      </c>
      <c r="I375" s="19"/>
      <c r="J375" s="18"/>
    </row>
    <row r="376" customFormat="false" ht="15" hidden="false" customHeight="false" outlineLevel="0" collapsed="false">
      <c r="A376" s="18" t="s">
        <v>811</v>
      </c>
      <c r="B376" s="18" t="s">
        <v>49</v>
      </c>
      <c r="C376" s="18" t="s">
        <v>731</v>
      </c>
      <c r="D376" s="18" t="s">
        <v>164</v>
      </c>
      <c r="E376" s="19" t="s">
        <v>812</v>
      </c>
      <c r="F376" s="18" t="s">
        <v>2624</v>
      </c>
      <c r="G376" s="18" t="n">
        <v>1</v>
      </c>
      <c r="H376" s="18" t="s">
        <v>2656</v>
      </c>
      <c r="I376" s="19"/>
      <c r="J376" s="18"/>
    </row>
    <row r="377" customFormat="false" ht="15" hidden="false" customHeight="false" outlineLevel="0" collapsed="false">
      <c r="A377" s="18" t="s">
        <v>813</v>
      </c>
      <c r="B377" s="18" t="s">
        <v>49</v>
      </c>
      <c r="C377" s="18" t="s">
        <v>731</v>
      </c>
      <c r="D377" s="18" t="s">
        <v>158</v>
      </c>
      <c r="E377" s="19" t="s">
        <v>814</v>
      </c>
      <c r="F377" s="18" t="s">
        <v>2624</v>
      </c>
      <c r="G377" s="18" t="n">
        <v>1</v>
      </c>
      <c r="H377" s="18" t="s">
        <v>2656</v>
      </c>
      <c r="I377" s="19"/>
      <c r="J377" s="18"/>
    </row>
    <row r="378" customFormat="false" ht="15" hidden="false" customHeight="false" outlineLevel="0" collapsed="false">
      <c r="A378" s="18" t="s">
        <v>815</v>
      </c>
      <c r="B378" s="18" t="s">
        <v>49</v>
      </c>
      <c r="C378" s="18" t="s">
        <v>731</v>
      </c>
      <c r="D378" s="18" t="s">
        <v>158</v>
      </c>
      <c r="E378" s="19" t="s">
        <v>816</v>
      </c>
      <c r="F378" s="18" t="s">
        <v>2624</v>
      </c>
      <c r="G378" s="18" t="n">
        <v>1</v>
      </c>
      <c r="H378" s="18" t="s">
        <v>2656</v>
      </c>
      <c r="I378" s="19"/>
      <c r="J378" s="18"/>
    </row>
    <row r="379" customFormat="false" ht="22.35" hidden="false" customHeight="false" outlineLevel="0" collapsed="false">
      <c r="A379" s="18" t="s">
        <v>817</v>
      </c>
      <c r="B379" s="18" t="s">
        <v>49</v>
      </c>
      <c r="C379" s="18" t="s">
        <v>731</v>
      </c>
      <c r="D379" s="18" t="s">
        <v>164</v>
      </c>
      <c r="E379" s="19" t="s">
        <v>818</v>
      </c>
      <c r="F379" s="18" t="s">
        <v>2624</v>
      </c>
      <c r="G379" s="18" t="n">
        <v>1</v>
      </c>
      <c r="H379" s="18" t="s">
        <v>2656</v>
      </c>
      <c r="I379" s="19"/>
      <c r="J379" s="18"/>
    </row>
    <row r="380" customFormat="false" ht="32.8" hidden="false" customHeight="false" outlineLevel="0" collapsed="false">
      <c r="A380" s="18" t="s">
        <v>819</v>
      </c>
      <c r="B380" s="18" t="s">
        <v>49</v>
      </c>
      <c r="C380" s="18" t="s">
        <v>731</v>
      </c>
      <c r="D380" s="18" t="s">
        <v>164</v>
      </c>
      <c r="E380" s="19" t="s">
        <v>820</v>
      </c>
      <c r="F380" s="18" t="s">
        <v>2624</v>
      </c>
      <c r="G380" s="18" t="n">
        <v>1</v>
      </c>
      <c r="H380" s="18" t="s">
        <v>2656</v>
      </c>
      <c r="I380" s="19"/>
      <c r="J380" s="18"/>
    </row>
    <row r="381" customFormat="false" ht="15" hidden="false" customHeight="false" outlineLevel="0" collapsed="false">
      <c r="A381" s="18" t="s">
        <v>821</v>
      </c>
      <c r="B381" s="18" t="s">
        <v>49</v>
      </c>
      <c r="C381" s="18" t="s">
        <v>731</v>
      </c>
      <c r="D381" s="18" t="s">
        <v>164</v>
      </c>
      <c r="E381" s="19" t="s">
        <v>822</v>
      </c>
      <c r="F381" s="18" t="s">
        <v>2624</v>
      </c>
      <c r="G381" s="18" t="n">
        <v>1</v>
      </c>
      <c r="H381" s="18" t="s">
        <v>2656</v>
      </c>
      <c r="I381" s="19"/>
      <c r="J381" s="18"/>
    </row>
    <row r="382" customFormat="false" ht="15" hidden="false" customHeight="false" outlineLevel="0" collapsed="false">
      <c r="A382" s="18" t="s">
        <v>823</v>
      </c>
      <c r="B382" s="18" t="s">
        <v>49</v>
      </c>
      <c r="C382" s="18" t="s">
        <v>731</v>
      </c>
      <c r="D382" s="18" t="s">
        <v>175</v>
      </c>
      <c r="E382" s="19" t="s">
        <v>824</v>
      </c>
      <c r="F382" s="18" t="s">
        <v>2624</v>
      </c>
      <c r="G382" s="18" t="n">
        <v>1</v>
      </c>
      <c r="H382" s="18" t="s">
        <v>2625</v>
      </c>
      <c r="I382" s="19"/>
      <c r="J382" s="18"/>
    </row>
    <row r="383" customFormat="false" ht="22.35" hidden="false" customHeight="false" outlineLevel="0" collapsed="false">
      <c r="A383" s="18" t="s">
        <v>825</v>
      </c>
      <c r="B383" s="18" t="s">
        <v>49</v>
      </c>
      <c r="C383" s="18" t="s">
        <v>731</v>
      </c>
      <c r="D383" s="18" t="s">
        <v>175</v>
      </c>
      <c r="E383" s="19" t="s">
        <v>826</v>
      </c>
      <c r="F383" s="18" t="s">
        <v>2624</v>
      </c>
      <c r="G383" s="18" t="n">
        <v>0.88</v>
      </c>
      <c r="H383" s="18" t="s">
        <v>2656</v>
      </c>
      <c r="I383" s="19"/>
      <c r="J383" s="18"/>
    </row>
    <row r="384" customFormat="false" ht="22.35" hidden="false" customHeight="false" outlineLevel="0" collapsed="false">
      <c r="A384" s="18" t="s">
        <v>827</v>
      </c>
      <c r="B384" s="18" t="s">
        <v>49</v>
      </c>
      <c r="C384" s="18" t="s">
        <v>731</v>
      </c>
      <c r="D384" s="18" t="s">
        <v>175</v>
      </c>
      <c r="E384" s="19" t="s">
        <v>828</v>
      </c>
      <c r="F384" s="18" t="s">
        <v>2624</v>
      </c>
      <c r="G384" s="18" t="n">
        <v>0.89</v>
      </c>
      <c r="H384" s="18" t="s">
        <v>2656</v>
      </c>
      <c r="I384" s="19"/>
      <c r="J384" s="18"/>
    </row>
    <row r="385" customFormat="false" ht="22.35" hidden="false" customHeight="false" outlineLevel="0" collapsed="false">
      <c r="A385" s="18" t="s">
        <v>829</v>
      </c>
      <c r="B385" s="18" t="s">
        <v>49</v>
      </c>
      <c r="C385" s="18" t="s">
        <v>731</v>
      </c>
      <c r="D385" s="18" t="s">
        <v>175</v>
      </c>
      <c r="E385" s="19" t="s">
        <v>830</v>
      </c>
      <c r="F385" s="18" t="s">
        <v>2630</v>
      </c>
      <c r="G385" s="18" t="n">
        <v>0.82</v>
      </c>
      <c r="H385" s="18" t="s">
        <v>2656</v>
      </c>
      <c r="I385" s="19"/>
      <c r="J385" s="18"/>
    </row>
    <row r="386" customFormat="false" ht="22.35" hidden="false" customHeight="false" outlineLevel="0" collapsed="false">
      <c r="A386" s="18" t="s">
        <v>831</v>
      </c>
      <c r="B386" s="18" t="s">
        <v>49</v>
      </c>
      <c r="C386" s="18" t="s">
        <v>731</v>
      </c>
      <c r="D386" s="18" t="s">
        <v>175</v>
      </c>
      <c r="E386" s="19" t="s">
        <v>832</v>
      </c>
      <c r="F386" s="18" t="s">
        <v>2624</v>
      </c>
      <c r="G386" s="18" t="n">
        <v>0.9</v>
      </c>
      <c r="H386" s="18" t="s">
        <v>2656</v>
      </c>
      <c r="I386" s="19"/>
      <c r="J386" s="18"/>
    </row>
    <row r="387" customFormat="false" ht="15" hidden="false" customHeight="false" outlineLevel="0" collapsed="false">
      <c r="A387" s="18" t="s">
        <v>833</v>
      </c>
      <c r="B387" s="18" t="s">
        <v>49</v>
      </c>
      <c r="C387" s="18" t="s">
        <v>731</v>
      </c>
      <c r="D387" s="18" t="s">
        <v>164</v>
      </c>
      <c r="E387" s="19" t="s">
        <v>834</v>
      </c>
      <c r="F387" s="18" t="s">
        <v>2624</v>
      </c>
      <c r="G387" s="18" t="n">
        <v>1</v>
      </c>
      <c r="H387" s="18" t="s">
        <v>2656</v>
      </c>
      <c r="I387" s="19"/>
      <c r="J387" s="18"/>
    </row>
    <row r="388" customFormat="false" ht="15" hidden="false" customHeight="false" outlineLevel="0" collapsed="false">
      <c r="A388" s="18" t="s">
        <v>835</v>
      </c>
      <c r="B388" s="18" t="s">
        <v>49</v>
      </c>
      <c r="C388" s="18" t="s">
        <v>731</v>
      </c>
      <c r="D388" s="18" t="s">
        <v>164</v>
      </c>
      <c r="E388" s="19" t="s">
        <v>836</v>
      </c>
      <c r="F388" s="18" t="s">
        <v>2624</v>
      </c>
      <c r="G388" s="18" t="n">
        <v>1</v>
      </c>
      <c r="H388" s="18" t="s">
        <v>2656</v>
      </c>
      <c r="I388" s="19"/>
      <c r="J388" s="18"/>
    </row>
    <row r="389" customFormat="false" ht="15" hidden="false" customHeight="false" outlineLevel="0" collapsed="false">
      <c r="A389" s="18" t="s">
        <v>837</v>
      </c>
      <c r="B389" s="18" t="s">
        <v>49</v>
      </c>
      <c r="C389" s="18" t="s">
        <v>731</v>
      </c>
      <c r="D389" s="18" t="s">
        <v>164</v>
      </c>
      <c r="E389" s="19" t="s">
        <v>838</v>
      </c>
      <c r="F389" s="18" t="s">
        <v>2624</v>
      </c>
      <c r="G389" s="18" t="n">
        <v>1</v>
      </c>
      <c r="H389" s="18" t="s">
        <v>2656</v>
      </c>
      <c r="I389" s="19"/>
      <c r="J389" s="18"/>
    </row>
    <row r="390" customFormat="false" ht="22.35" hidden="false" customHeight="false" outlineLevel="0" collapsed="false">
      <c r="A390" s="18" t="s">
        <v>839</v>
      </c>
      <c r="B390" s="18" t="s">
        <v>49</v>
      </c>
      <c r="C390" s="18" t="s">
        <v>731</v>
      </c>
      <c r="D390" s="18" t="s">
        <v>164</v>
      </c>
      <c r="E390" s="19" t="s">
        <v>840</v>
      </c>
      <c r="F390" s="18" t="s">
        <v>2624</v>
      </c>
      <c r="G390" s="18" t="n">
        <v>1</v>
      </c>
      <c r="H390" s="18" t="s">
        <v>2656</v>
      </c>
      <c r="I390" s="19"/>
      <c r="J390" s="18"/>
    </row>
    <row r="391" customFormat="false" ht="15" hidden="false" customHeight="false" outlineLevel="0" collapsed="false">
      <c r="A391" s="18" t="s">
        <v>841</v>
      </c>
      <c r="B391" s="18" t="s">
        <v>49</v>
      </c>
      <c r="C391" s="18" t="s">
        <v>731</v>
      </c>
      <c r="D391" s="18" t="s">
        <v>164</v>
      </c>
      <c r="E391" s="19" t="s">
        <v>385</v>
      </c>
      <c r="F391" s="18" t="s">
        <v>2624</v>
      </c>
      <c r="G391" s="18" t="n">
        <v>1</v>
      </c>
      <c r="H391" s="18" t="s">
        <v>2641</v>
      </c>
      <c r="I391" s="19"/>
      <c r="J391" s="18"/>
    </row>
    <row r="392" customFormat="false" ht="53.7" hidden="false" customHeight="false" outlineLevel="0" collapsed="false">
      <c r="A392" s="18" t="s">
        <v>842</v>
      </c>
      <c r="B392" s="18" t="s">
        <v>49</v>
      </c>
      <c r="C392" s="18" t="s">
        <v>731</v>
      </c>
      <c r="D392" s="18" t="s">
        <v>175</v>
      </c>
      <c r="E392" s="19" t="s">
        <v>843</v>
      </c>
      <c r="F392" s="18" t="s">
        <v>2624</v>
      </c>
      <c r="G392" s="18" t="n">
        <v>0.9</v>
      </c>
      <c r="H392" s="18" t="s">
        <v>2625</v>
      </c>
      <c r="I392" s="19"/>
      <c r="J392" s="18"/>
    </row>
    <row r="393" customFormat="false" ht="15" hidden="false" customHeight="false" outlineLevel="0" collapsed="false">
      <c r="A393" s="18" t="s">
        <v>844</v>
      </c>
      <c r="B393" s="18" t="s">
        <v>49</v>
      </c>
      <c r="C393" s="18" t="s">
        <v>731</v>
      </c>
      <c r="D393" s="18" t="s">
        <v>158</v>
      </c>
      <c r="E393" s="19" t="s">
        <v>845</v>
      </c>
      <c r="F393" s="18" t="s">
        <v>2624</v>
      </c>
      <c r="G393" s="18" t="n">
        <v>1</v>
      </c>
      <c r="H393" s="18" t="s">
        <v>2656</v>
      </c>
      <c r="I393" s="19"/>
      <c r="J393" s="18"/>
    </row>
    <row r="394" customFormat="false" ht="15" hidden="false" customHeight="false" outlineLevel="0" collapsed="false">
      <c r="A394" s="18" t="s">
        <v>846</v>
      </c>
      <c r="B394" s="18" t="s">
        <v>49</v>
      </c>
      <c r="C394" s="18" t="s">
        <v>731</v>
      </c>
      <c r="D394" s="18" t="s">
        <v>164</v>
      </c>
      <c r="E394" s="19" t="s">
        <v>847</v>
      </c>
      <c r="F394" s="18" t="s">
        <v>2624</v>
      </c>
      <c r="G394" s="18" t="n">
        <v>1</v>
      </c>
      <c r="H394" s="18" t="s">
        <v>2656</v>
      </c>
      <c r="I394" s="19"/>
      <c r="J394" s="18"/>
    </row>
    <row r="395" customFormat="false" ht="22.35" hidden="false" customHeight="false" outlineLevel="0" collapsed="false">
      <c r="A395" s="18" t="s">
        <v>848</v>
      </c>
      <c r="B395" s="18" t="s">
        <v>49</v>
      </c>
      <c r="C395" s="18" t="s">
        <v>731</v>
      </c>
      <c r="D395" s="18" t="s">
        <v>164</v>
      </c>
      <c r="E395" s="19" t="s">
        <v>849</v>
      </c>
      <c r="F395" s="18" t="s">
        <v>2624</v>
      </c>
      <c r="G395" s="18" t="n">
        <v>1</v>
      </c>
      <c r="H395" s="18" t="s">
        <v>2656</v>
      </c>
      <c r="I395" s="19"/>
      <c r="J395" s="18"/>
    </row>
    <row r="396" customFormat="false" ht="32.8" hidden="false" customHeight="false" outlineLevel="0" collapsed="false">
      <c r="A396" s="18" t="s">
        <v>850</v>
      </c>
      <c r="B396" s="18" t="s">
        <v>49</v>
      </c>
      <c r="C396" s="18" t="s">
        <v>731</v>
      </c>
      <c r="D396" s="18" t="s">
        <v>164</v>
      </c>
      <c r="E396" s="19" t="s">
        <v>851</v>
      </c>
      <c r="F396" s="18" t="s">
        <v>2624</v>
      </c>
      <c r="G396" s="18" t="n">
        <v>1</v>
      </c>
      <c r="H396" s="18" t="s">
        <v>2656</v>
      </c>
      <c r="I396" s="19"/>
      <c r="J396" s="18"/>
    </row>
    <row r="397" customFormat="false" ht="32.8" hidden="false" customHeight="false" outlineLevel="0" collapsed="false">
      <c r="A397" s="18" t="s">
        <v>852</v>
      </c>
      <c r="B397" s="18" t="s">
        <v>49</v>
      </c>
      <c r="C397" s="18" t="s">
        <v>731</v>
      </c>
      <c r="D397" s="18" t="s">
        <v>164</v>
      </c>
      <c r="E397" s="19" t="s">
        <v>853</v>
      </c>
      <c r="F397" s="18" t="s">
        <v>2624</v>
      </c>
      <c r="G397" s="18" t="n">
        <v>1</v>
      </c>
      <c r="H397" s="18" t="s">
        <v>2656</v>
      </c>
      <c r="I397" s="19"/>
      <c r="J397" s="18"/>
    </row>
    <row r="398" customFormat="false" ht="22.35" hidden="false" customHeight="false" outlineLevel="0" collapsed="false">
      <c r="A398" s="18" t="s">
        <v>854</v>
      </c>
      <c r="B398" s="18" t="s">
        <v>49</v>
      </c>
      <c r="C398" s="18" t="s">
        <v>731</v>
      </c>
      <c r="D398" s="18" t="s">
        <v>175</v>
      </c>
      <c r="E398" s="19" t="s">
        <v>855</v>
      </c>
      <c r="F398" s="18" t="s">
        <v>2624</v>
      </c>
      <c r="G398" s="18" t="n">
        <v>1</v>
      </c>
      <c r="H398" s="18" t="s">
        <v>2656</v>
      </c>
      <c r="I398" s="19"/>
      <c r="J398" s="18"/>
    </row>
    <row r="399" customFormat="false" ht="22.35" hidden="false" customHeight="false" outlineLevel="0" collapsed="false">
      <c r="A399" s="18" t="s">
        <v>856</v>
      </c>
      <c r="B399" s="18" t="s">
        <v>49</v>
      </c>
      <c r="C399" s="18" t="s">
        <v>731</v>
      </c>
      <c r="D399" s="18" t="s">
        <v>411</v>
      </c>
      <c r="E399" s="19" t="s">
        <v>410</v>
      </c>
      <c r="F399" s="18" t="s">
        <v>2636</v>
      </c>
      <c r="G399" s="18" t="n">
        <v>1</v>
      </c>
      <c r="H399" s="18" t="s">
        <v>2625</v>
      </c>
      <c r="I399" s="19" t="s">
        <v>2642</v>
      </c>
      <c r="J399" s="18"/>
    </row>
    <row r="400" customFormat="false" ht="15" hidden="false" customHeight="false" outlineLevel="0" collapsed="false">
      <c r="A400" s="18" t="s">
        <v>857</v>
      </c>
      <c r="B400" s="18" t="s">
        <v>49</v>
      </c>
      <c r="C400" s="18" t="s">
        <v>731</v>
      </c>
      <c r="D400" s="18" t="s">
        <v>411</v>
      </c>
      <c r="E400" s="19" t="s">
        <v>633</v>
      </c>
      <c r="F400" s="18" t="s">
        <v>2624</v>
      </c>
      <c r="G400" s="18" t="n">
        <v>1</v>
      </c>
      <c r="H400" s="18" t="s">
        <v>2643</v>
      </c>
      <c r="I400" s="19"/>
      <c r="J400" s="18"/>
    </row>
    <row r="401" customFormat="false" ht="22.35" hidden="false" customHeight="false" outlineLevel="0" collapsed="false">
      <c r="A401" s="18" t="s">
        <v>858</v>
      </c>
      <c r="B401" s="18" t="s">
        <v>49</v>
      </c>
      <c r="C401" s="18" t="s">
        <v>731</v>
      </c>
      <c r="D401" s="18" t="s">
        <v>411</v>
      </c>
      <c r="E401" s="19" t="s">
        <v>859</v>
      </c>
      <c r="F401" s="18" t="s">
        <v>2624</v>
      </c>
      <c r="G401" s="18" t="n">
        <v>1</v>
      </c>
      <c r="H401" s="18" t="s">
        <v>2657</v>
      </c>
      <c r="I401" s="19"/>
      <c r="J401" s="18"/>
    </row>
    <row r="402" customFormat="false" ht="15" hidden="false" customHeight="false" outlineLevel="0" collapsed="false">
      <c r="A402" s="18" t="s">
        <v>860</v>
      </c>
      <c r="B402" s="18" t="s">
        <v>49</v>
      </c>
      <c r="C402" s="18" t="s">
        <v>731</v>
      </c>
      <c r="D402" s="18" t="s">
        <v>411</v>
      </c>
      <c r="E402" s="19" t="s">
        <v>419</v>
      </c>
      <c r="F402" s="18" t="s">
        <v>2624</v>
      </c>
      <c r="G402" s="18" t="n">
        <v>1</v>
      </c>
      <c r="H402" s="18" t="s">
        <v>2643</v>
      </c>
      <c r="I402" s="19"/>
      <c r="J402" s="18"/>
    </row>
    <row r="403" customFormat="false" ht="15" hidden="false" customHeight="false" outlineLevel="0" collapsed="false">
      <c r="A403" s="18" t="s">
        <v>861</v>
      </c>
      <c r="B403" s="18" t="s">
        <v>49</v>
      </c>
      <c r="C403" s="18" t="s">
        <v>731</v>
      </c>
      <c r="D403" s="18" t="s">
        <v>411</v>
      </c>
      <c r="E403" s="19" t="s">
        <v>862</v>
      </c>
      <c r="F403" s="18" t="s">
        <v>2624</v>
      </c>
      <c r="G403" s="18" t="n">
        <v>1</v>
      </c>
      <c r="H403" s="18" t="s">
        <v>2633</v>
      </c>
      <c r="I403" s="19"/>
      <c r="J403" s="18"/>
    </row>
    <row r="404" customFormat="false" ht="22.35" hidden="false" customHeight="false" outlineLevel="0" collapsed="false">
      <c r="A404" s="18" t="s">
        <v>863</v>
      </c>
      <c r="B404" s="18" t="s">
        <v>49</v>
      </c>
      <c r="C404" s="18" t="s">
        <v>731</v>
      </c>
      <c r="D404" s="18" t="s">
        <v>411</v>
      </c>
      <c r="E404" s="19" t="s">
        <v>864</v>
      </c>
      <c r="F404" s="18" t="s">
        <v>2624</v>
      </c>
      <c r="G404" s="18" t="n">
        <v>1</v>
      </c>
      <c r="H404" s="18" t="s">
        <v>2633</v>
      </c>
      <c r="I404" s="19"/>
      <c r="J404" s="18"/>
    </row>
    <row r="405" customFormat="false" ht="15" hidden="false" customHeight="false" outlineLevel="0" collapsed="false">
      <c r="A405" s="18" t="s">
        <v>865</v>
      </c>
      <c r="B405" s="18" t="s">
        <v>49</v>
      </c>
      <c r="C405" s="18" t="s">
        <v>731</v>
      </c>
      <c r="D405" s="18" t="s">
        <v>411</v>
      </c>
      <c r="E405" s="19" t="s">
        <v>866</v>
      </c>
      <c r="F405" s="18" t="s">
        <v>2624</v>
      </c>
      <c r="G405" s="18" t="n">
        <v>1</v>
      </c>
      <c r="H405" s="18" t="s">
        <v>2633</v>
      </c>
      <c r="I405" s="19"/>
      <c r="J405" s="18"/>
    </row>
    <row r="406" customFormat="false" ht="22.35" hidden="false" customHeight="false" outlineLevel="0" collapsed="false">
      <c r="A406" s="18" t="s">
        <v>867</v>
      </c>
      <c r="B406" s="18" t="s">
        <v>49</v>
      </c>
      <c r="C406" s="18" t="s">
        <v>731</v>
      </c>
      <c r="D406" s="18" t="s">
        <v>411</v>
      </c>
      <c r="E406" s="19" t="s">
        <v>868</v>
      </c>
      <c r="F406" s="18" t="s">
        <v>2624</v>
      </c>
      <c r="G406" s="18" t="n">
        <v>1</v>
      </c>
      <c r="H406" s="18" t="s">
        <v>2657</v>
      </c>
      <c r="I406" s="19"/>
      <c r="J406" s="18"/>
    </row>
    <row r="407" customFormat="false" ht="15" hidden="false" customHeight="false" outlineLevel="0" collapsed="false">
      <c r="A407" s="18" t="s">
        <v>869</v>
      </c>
      <c r="B407" s="18" t="s">
        <v>49</v>
      </c>
      <c r="C407" s="18" t="s">
        <v>731</v>
      </c>
      <c r="D407" s="18" t="s">
        <v>411</v>
      </c>
      <c r="E407" s="19" t="s">
        <v>419</v>
      </c>
      <c r="F407" s="18" t="s">
        <v>2624</v>
      </c>
      <c r="G407" s="18" t="n">
        <v>1</v>
      </c>
      <c r="H407" s="18" t="s">
        <v>2643</v>
      </c>
      <c r="I407" s="19"/>
      <c r="J407" s="18"/>
    </row>
    <row r="408" customFormat="false" ht="15" hidden="false" customHeight="false" outlineLevel="0" collapsed="false">
      <c r="A408" s="18" t="s">
        <v>870</v>
      </c>
      <c r="B408" s="18" t="s">
        <v>49</v>
      </c>
      <c r="C408" s="18" t="s">
        <v>731</v>
      </c>
      <c r="D408" s="18" t="s">
        <v>411</v>
      </c>
      <c r="E408" s="19" t="s">
        <v>871</v>
      </c>
      <c r="F408" s="18" t="s">
        <v>2624</v>
      </c>
      <c r="G408" s="18" t="n">
        <v>1</v>
      </c>
      <c r="H408" s="18" t="s">
        <v>2633</v>
      </c>
      <c r="I408" s="19"/>
      <c r="J408" s="18"/>
    </row>
    <row r="409" customFormat="false" ht="22.35" hidden="false" customHeight="false" outlineLevel="0" collapsed="false">
      <c r="A409" s="18" t="s">
        <v>872</v>
      </c>
      <c r="B409" s="18" t="s">
        <v>49</v>
      </c>
      <c r="C409" s="18" t="s">
        <v>731</v>
      </c>
      <c r="D409" s="18" t="s">
        <v>411</v>
      </c>
      <c r="E409" s="19" t="s">
        <v>873</v>
      </c>
      <c r="F409" s="18" t="s">
        <v>2624</v>
      </c>
      <c r="G409" s="18" t="n">
        <v>1</v>
      </c>
      <c r="H409" s="18" t="s">
        <v>2633</v>
      </c>
      <c r="I409" s="19"/>
      <c r="J409" s="18"/>
    </row>
    <row r="410" customFormat="false" ht="15" hidden="false" customHeight="false" outlineLevel="0" collapsed="false">
      <c r="A410" s="18" t="s">
        <v>874</v>
      </c>
      <c r="B410" s="18" t="s">
        <v>49</v>
      </c>
      <c r="C410" s="18" t="s">
        <v>731</v>
      </c>
      <c r="D410" s="18" t="s">
        <v>411</v>
      </c>
      <c r="E410" s="19" t="s">
        <v>875</v>
      </c>
      <c r="F410" s="18" t="s">
        <v>2624</v>
      </c>
      <c r="G410" s="18" t="n">
        <v>1</v>
      </c>
      <c r="H410" s="18" t="s">
        <v>2633</v>
      </c>
      <c r="I410" s="19"/>
      <c r="J410" s="18"/>
    </row>
    <row r="411" customFormat="false" ht="15" hidden="false" customHeight="false" outlineLevel="0" collapsed="false">
      <c r="A411" s="18" t="s">
        <v>876</v>
      </c>
      <c r="B411" s="18" t="s">
        <v>49</v>
      </c>
      <c r="C411" s="18" t="s">
        <v>731</v>
      </c>
      <c r="D411" s="18" t="s">
        <v>411</v>
      </c>
      <c r="E411" s="19" t="s">
        <v>877</v>
      </c>
      <c r="F411" s="18" t="s">
        <v>2624</v>
      </c>
      <c r="G411" s="18" t="n">
        <v>1</v>
      </c>
      <c r="H411" s="18" t="s">
        <v>2625</v>
      </c>
      <c r="I411" s="19"/>
      <c r="J411" s="18"/>
    </row>
    <row r="412" customFormat="false" ht="22.35" hidden="false" customHeight="false" outlineLevel="0" collapsed="false">
      <c r="A412" s="18" t="s">
        <v>878</v>
      </c>
      <c r="B412" s="18" t="s">
        <v>49</v>
      </c>
      <c r="C412" s="18" t="s">
        <v>731</v>
      </c>
      <c r="D412" s="18" t="s">
        <v>411</v>
      </c>
      <c r="E412" s="19" t="s">
        <v>879</v>
      </c>
      <c r="F412" s="18" t="s">
        <v>2624</v>
      </c>
      <c r="G412" s="18" t="n">
        <v>1</v>
      </c>
      <c r="H412" s="18" t="s">
        <v>2657</v>
      </c>
      <c r="I412" s="19"/>
      <c r="J412" s="18"/>
    </row>
    <row r="413" customFormat="false" ht="22.35" hidden="false" customHeight="false" outlineLevel="0" collapsed="false">
      <c r="A413" s="18" t="s">
        <v>880</v>
      </c>
      <c r="B413" s="18" t="s">
        <v>49</v>
      </c>
      <c r="C413" s="18" t="s">
        <v>731</v>
      </c>
      <c r="D413" s="18" t="s">
        <v>411</v>
      </c>
      <c r="E413" s="19" t="s">
        <v>881</v>
      </c>
      <c r="F413" s="18" t="s">
        <v>2624</v>
      </c>
      <c r="G413" s="18" t="n">
        <v>1</v>
      </c>
      <c r="H413" s="18" t="s">
        <v>2625</v>
      </c>
      <c r="I413" s="19"/>
      <c r="J413" s="18"/>
    </row>
    <row r="414" customFormat="false" ht="32.8" hidden="false" customHeight="false" outlineLevel="0" collapsed="false">
      <c r="A414" s="18" t="s">
        <v>882</v>
      </c>
      <c r="B414" s="18" t="s">
        <v>49</v>
      </c>
      <c r="C414" s="18" t="s">
        <v>731</v>
      </c>
      <c r="D414" s="18" t="s">
        <v>411</v>
      </c>
      <c r="E414" s="19" t="s">
        <v>883</v>
      </c>
      <c r="F414" s="18" t="s">
        <v>2624</v>
      </c>
      <c r="G414" s="18" t="n">
        <v>1</v>
      </c>
      <c r="H414" s="18" t="s">
        <v>2625</v>
      </c>
      <c r="I414" s="19"/>
      <c r="J414" s="18"/>
    </row>
    <row r="415" customFormat="false" ht="15" hidden="false" customHeight="false" outlineLevel="0" collapsed="false">
      <c r="A415" s="18" t="s">
        <v>884</v>
      </c>
      <c r="B415" s="18" t="s">
        <v>49</v>
      </c>
      <c r="C415" s="18" t="s">
        <v>731</v>
      </c>
      <c r="D415" s="18" t="s">
        <v>411</v>
      </c>
      <c r="E415" s="19" t="s">
        <v>885</v>
      </c>
      <c r="F415" s="18" t="s">
        <v>2624</v>
      </c>
      <c r="G415" s="18" t="n">
        <v>1</v>
      </c>
      <c r="H415" s="18" t="s">
        <v>2625</v>
      </c>
      <c r="I415" s="19"/>
      <c r="J415" s="18"/>
    </row>
    <row r="416" customFormat="false" ht="22.35" hidden="false" customHeight="false" outlineLevel="0" collapsed="false">
      <c r="A416" s="18" t="s">
        <v>886</v>
      </c>
      <c r="B416" s="18" t="s">
        <v>49</v>
      </c>
      <c r="C416" s="18" t="s">
        <v>731</v>
      </c>
      <c r="D416" s="18" t="s">
        <v>411</v>
      </c>
      <c r="E416" s="19" t="s">
        <v>887</v>
      </c>
      <c r="F416" s="18" t="s">
        <v>2624</v>
      </c>
      <c r="G416" s="18" t="n">
        <v>1</v>
      </c>
      <c r="H416" s="18" t="s">
        <v>2625</v>
      </c>
      <c r="I416" s="19"/>
      <c r="J416" s="18"/>
    </row>
    <row r="417" customFormat="false" ht="22.35" hidden="false" customHeight="false" outlineLevel="0" collapsed="false">
      <c r="A417" s="18" t="s">
        <v>888</v>
      </c>
      <c r="B417" s="18" t="s">
        <v>49</v>
      </c>
      <c r="C417" s="18" t="s">
        <v>731</v>
      </c>
      <c r="D417" s="18" t="s">
        <v>411</v>
      </c>
      <c r="E417" s="19" t="s">
        <v>889</v>
      </c>
      <c r="F417" s="18" t="s">
        <v>2624</v>
      </c>
      <c r="G417" s="18" t="n">
        <v>1</v>
      </c>
      <c r="H417" s="18" t="s">
        <v>2625</v>
      </c>
      <c r="I417" s="19"/>
      <c r="J417" s="18"/>
    </row>
    <row r="418" customFormat="false" ht="22.35" hidden="false" customHeight="false" outlineLevel="0" collapsed="false">
      <c r="A418" s="18" t="s">
        <v>890</v>
      </c>
      <c r="B418" s="18" t="s">
        <v>49</v>
      </c>
      <c r="C418" s="18" t="s">
        <v>731</v>
      </c>
      <c r="D418" s="18" t="s">
        <v>411</v>
      </c>
      <c r="E418" s="19" t="s">
        <v>891</v>
      </c>
      <c r="F418" s="18" t="s">
        <v>2624</v>
      </c>
      <c r="G418" s="18" t="n">
        <v>1</v>
      </c>
      <c r="H418" s="18" t="s">
        <v>2633</v>
      </c>
      <c r="I418" s="19"/>
      <c r="J418" s="18"/>
    </row>
    <row r="419" customFormat="false" ht="22.35" hidden="false" customHeight="false" outlineLevel="0" collapsed="false">
      <c r="A419" s="18" t="s">
        <v>892</v>
      </c>
      <c r="B419" s="18" t="s">
        <v>49</v>
      </c>
      <c r="C419" s="18" t="s">
        <v>731</v>
      </c>
      <c r="D419" s="18" t="s">
        <v>411</v>
      </c>
      <c r="E419" s="19" t="s">
        <v>893</v>
      </c>
      <c r="F419" s="18" t="s">
        <v>2624</v>
      </c>
      <c r="G419" s="18" t="n">
        <v>1</v>
      </c>
      <c r="H419" s="18" t="s">
        <v>2657</v>
      </c>
      <c r="I419" s="19"/>
      <c r="J419" s="18"/>
    </row>
    <row r="420" customFormat="false" ht="15" hidden="false" customHeight="false" outlineLevel="0" collapsed="false">
      <c r="A420" s="18" t="s">
        <v>894</v>
      </c>
      <c r="B420" s="18" t="s">
        <v>49</v>
      </c>
      <c r="C420" s="18" t="s">
        <v>731</v>
      </c>
      <c r="D420" s="18" t="s">
        <v>158</v>
      </c>
      <c r="E420" s="19" t="s">
        <v>447</v>
      </c>
      <c r="F420" s="18" t="s">
        <v>2624</v>
      </c>
      <c r="G420" s="18" t="n">
        <v>1</v>
      </c>
      <c r="H420" s="18" t="s">
        <v>2644</v>
      </c>
      <c r="I420" s="19"/>
      <c r="J420" s="18"/>
    </row>
    <row r="421" customFormat="false" ht="32.8" hidden="false" customHeight="false" outlineLevel="0" collapsed="false">
      <c r="A421" s="18" t="s">
        <v>895</v>
      </c>
      <c r="B421" s="18" t="s">
        <v>49</v>
      </c>
      <c r="C421" s="18" t="s">
        <v>731</v>
      </c>
      <c r="D421" s="18" t="s">
        <v>164</v>
      </c>
      <c r="E421" s="19" t="s">
        <v>896</v>
      </c>
      <c r="F421" s="18" t="s">
        <v>2624</v>
      </c>
      <c r="G421" s="18" t="n">
        <v>1</v>
      </c>
      <c r="H421" s="18" t="s">
        <v>2644</v>
      </c>
      <c r="I421" s="19"/>
      <c r="J421" s="18"/>
    </row>
    <row r="422" customFormat="false" ht="22.35" hidden="false" customHeight="false" outlineLevel="0" collapsed="false">
      <c r="A422" s="18" t="s">
        <v>897</v>
      </c>
      <c r="B422" s="18" t="s">
        <v>49</v>
      </c>
      <c r="C422" s="18" t="s">
        <v>731</v>
      </c>
      <c r="D422" s="18" t="s">
        <v>164</v>
      </c>
      <c r="E422" s="19" t="s">
        <v>898</v>
      </c>
      <c r="F422" s="18" t="s">
        <v>2624</v>
      </c>
      <c r="G422" s="18" t="n">
        <v>1</v>
      </c>
      <c r="H422" s="18" t="s">
        <v>2644</v>
      </c>
      <c r="I422" s="19"/>
      <c r="J422" s="18"/>
    </row>
    <row r="423" customFormat="false" ht="22.35" hidden="false" customHeight="false" outlineLevel="0" collapsed="false">
      <c r="A423" s="18" t="s">
        <v>899</v>
      </c>
      <c r="B423" s="18" t="s">
        <v>49</v>
      </c>
      <c r="C423" s="18" t="s">
        <v>731</v>
      </c>
      <c r="D423" s="18" t="s">
        <v>164</v>
      </c>
      <c r="E423" s="19" t="s">
        <v>455</v>
      </c>
      <c r="F423" s="18" t="s">
        <v>2627</v>
      </c>
      <c r="G423" s="18" t="n">
        <v>0</v>
      </c>
      <c r="H423" s="18"/>
      <c r="I423" s="19" t="s">
        <v>2635</v>
      </c>
      <c r="J423" s="18"/>
    </row>
    <row r="424" customFormat="false" ht="15" hidden="false" customHeight="false" outlineLevel="0" collapsed="false">
      <c r="A424" s="18" t="s">
        <v>900</v>
      </c>
      <c r="B424" s="18" t="s">
        <v>49</v>
      </c>
      <c r="C424" s="18" t="s">
        <v>731</v>
      </c>
      <c r="D424" s="18" t="s">
        <v>164</v>
      </c>
      <c r="E424" s="19" t="s">
        <v>457</v>
      </c>
      <c r="F424" s="18" t="s">
        <v>2627</v>
      </c>
      <c r="G424" s="18" t="n">
        <v>0.2</v>
      </c>
      <c r="H424" s="18"/>
      <c r="I424" s="19" t="s">
        <v>2634</v>
      </c>
      <c r="J424" s="18"/>
    </row>
    <row r="425" customFormat="false" ht="15" hidden="false" customHeight="false" outlineLevel="0" collapsed="false">
      <c r="A425" s="18" t="s">
        <v>901</v>
      </c>
      <c r="B425" s="18" t="s">
        <v>49</v>
      </c>
      <c r="C425" s="18" t="s">
        <v>731</v>
      </c>
      <c r="D425" s="18" t="s">
        <v>175</v>
      </c>
      <c r="E425" s="19" t="s">
        <v>459</v>
      </c>
      <c r="F425" s="18" t="s">
        <v>2630</v>
      </c>
      <c r="G425" s="18" t="n">
        <v>0.67</v>
      </c>
      <c r="H425" s="18" t="s">
        <v>2647</v>
      </c>
      <c r="I425" s="19"/>
      <c r="J425" s="18"/>
    </row>
    <row r="426" customFormat="false" ht="15" hidden="false" customHeight="false" outlineLevel="0" collapsed="false">
      <c r="A426" s="18" t="s">
        <v>902</v>
      </c>
      <c r="B426" s="18" t="s">
        <v>49</v>
      </c>
      <c r="C426" s="18" t="s">
        <v>731</v>
      </c>
      <c r="D426" s="18" t="s">
        <v>175</v>
      </c>
      <c r="E426" s="19" t="s">
        <v>903</v>
      </c>
      <c r="F426" s="18" t="s">
        <v>2624</v>
      </c>
      <c r="G426" s="18" t="n">
        <v>1</v>
      </c>
      <c r="H426" s="18" t="s">
        <v>2644</v>
      </c>
      <c r="I426" s="19"/>
      <c r="J426" s="18"/>
    </row>
    <row r="427" customFormat="false" ht="15" hidden="false" customHeight="false" outlineLevel="0" collapsed="false">
      <c r="A427" s="18" t="s">
        <v>904</v>
      </c>
      <c r="B427" s="18" t="s">
        <v>49</v>
      </c>
      <c r="C427" s="18" t="s">
        <v>731</v>
      </c>
      <c r="D427" s="18" t="s">
        <v>175</v>
      </c>
      <c r="E427" s="19" t="s">
        <v>905</v>
      </c>
      <c r="F427" s="18" t="s">
        <v>2624</v>
      </c>
      <c r="G427" s="18" t="n">
        <v>1</v>
      </c>
      <c r="H427" s="18" t="s">
        <v>2644</v>
      </c>
      <c r="I427" s="19"/>
      <c r="J427" s="18"/>
    </row>
    <row r="428" customFormat="false" ht="15" hidden="false" customHeight="false" outlineLevel="0" collapsed="false">
      <c r="A428" s="18" t="s">
        <v>906</v>
      </c>
      <c r="B428" s="18" t="s">
        <v>49</v>
      </c>
      <c r="C428" s="18" t="s">
        <v>731</v>
      </c>
      <c r="D428" s="18" t="s">
        <v>175</v>
      </c>
      <c r="E428" s="19" t="s">
        <v>907</v>
      </c>
      <c r="F428" s="18" t="s">
        <v>2624</v>
      </c>
      <c r="G428" s="18" t="n">
        <v>1</v>
      </c>
      <c r="H428" s="18" t="s">
        <v>2644</v>
      </c>
      <c r="I428" s="19"/>
      <c r="J428" s="18"/>
    </row>
    <row r="429" customFormat="false" ht="22.35" hidden="false" customHeight="false" outlineLevel="0" collapsed="false">
      <c r="A429" s="18" t="s">
        <v>908</v>
      </c>
      <c r="B429" s="18" t="s">
        <v>49</v>
      </c>
      <c r="C429" s="18" t="s">
        <v>731</v>
      </c>
      <c r="D429" s="18" t="s">
        <v>158</v>
      </c>
      <c r="E429" s="19" t="s">
        <v>467</v>
      </c>
      <c r="F429" s="18" t="s">
        <v>2631</v>
      </c>
      <c r="G429" s="18" t="n">
        <v>0</v>
      </c>
      <c r="H429" s="18"/>
      <c r="I429" s="19" t="s">
        <v>2639</v>
      </c>
      <c r="J429" s="18"/>
    </row>
    <row r="430" customFormat="false" ht="22.35" hidden="false" customHeight="false" outlineLevel="0" collapsed="false">
      <c r="A430" s="18" t="s">
        <v>909</v>
      </c>
      <c r="B430" s="18" t="s">
        <v>49</v>
      </c>
      <c r="C430" s="18" t="s">
        <v>731</v>
      </c>
      <c r="D430" s="18" t="s">
        <v>164</v>
      </c>
      <c r="E430" s="19" t="s">
        <v>910</v>
      </c>
      <c r="F430" s="18" t="s">
        <v>2631</v>
      </c>
      <c r="G430" s="18" t="n">
        <v>0.15</v>
      </c>
      <c r="H430" s="18"/>
      <c r="I430" s="19" t="s">
        <v>2639</v>
      </c>
      <c r="J430" s="18"/>
    </row>
    <row r="431" customFormat="false" ht="22.35" hidden="false" customHeight="false" outlineLevel="0" collapsed="false">
      <c r="A431" s="18" t="s">
        <v>911</v>
      </c>
      <c r="B431" s="18" t="s">
        <v>49</v>
      </c>
      <c r="C431" s="18" t="s">
        <v>731</v>
      </c>
      <c r="D431" s="18" t="s">
        <v>164</v>
      </c>
      <c r="E431" s="19" t="s">
        <v>912</v>
      </c>
      <c r="F431" s="18" t="s">
        <v>2631</v>
      </c>
      <c r="G431" s="18" t="n">
        <v>0</v>
      </c>
      <c r="H431" s="18"/>
      <c r="I431" s="19" t="s">
        <v>2639</v>
      </c>
      <c r="J431" s="18"/>
    </row>
    <row r="432" customFormat="false" ht="22.35" hidden="false" customHeight="false" outlineLevel="0" collapsed="false">
      <c r="A432" s="18" t="s">
        <v>913</v>
      </c>
      <c r="B432" s="18" t="s">
        <v>49</v>
      </c>
      <c r="C432" s="18" t="s">
        <v>731</v>
      </c>
      <c r="D432" s="18" t="s">
        <v>164</v>
      </c>
      <c r="E432" s="19" t="s">
        <v>914</v>
      </c>
      <c r="F432" s="18" t="s">
        <v>2631</v>
      </c>
      <c r="G432" s="18" t="n">
        <v>0.25</v>
      </c>
      <c r="H432" s="18"/>
      <c r="I432" s="19" t="s">
        <v>2639</v>
      </c>
      <c r="J432" s="18"/>
    </row>
    <row r="433" customFormat="false" ht="22.35" hidden="false" customHeight="false" outlineLevel="0" collapsed="false">
      <c r="A433" s="18" t="s">
        <v>915</v>
      </c>
      <c r="B433" s="18" t="s">
        <v>49</v>
      </c>
      <c r="C433" s="18" t="s">
        <v>731</v>
      </c>
      <c r="D433" s="18" t="s">
        <v>164</v>
      </c>
      <c r="E433" s="19" t="s">
        <v>475</v>
      </c>
      <c r="F433" s="18" t="s">
        <v>2631</v>
      </c>
      <c r="G433" s="18" t="n">
        <v>0.11</v>
      </c>
      <c r="H433" s="18"/>
      <c r="I433" s="19" t="s">
        <v>2639</v>
      </c>
      <c r="J433" s="18"/>
    </row>
    <row r="434" customFormat="false" ht="15" hidden="false" customHeight="false" outlineLevel="0" collapsed="false">
      <c r="A434" s="18" t="s">
        <v>916</v>
      </c>
      <c r="B434" s="18" t="s">
        <v>49</v>
      </c>
      <c r="C434" s="18" t="s">
        <v>731</v>
      </c>
      <c r="D434" s="18" t="s">
        <v>478</v>
      </c>
      <c r="E434" s="19" t="s">
        <v>917</v>
      </c>
      <c r="F434" s="18" t="s">
        <v>2624</v>
      </c>
      <c r="G434" s="18" t="n">
        <v>0.91</v>
      </c>
      <c r="H434" s="18" t="s">
        <v>2625</v>
      </c>
      <c r="I434" s="19"/>
      <c r="J434" s="18"/>
    </row>
    <row r="435" customFormat="false" ht="32.8" hidden="false" customHeight="false" outlineLevel="0" collapsed="false">
      <c r="A435" s="18" t="s">
        <v>918</v>
      </c>
      <c r="B435" s="18" t="s">
        <v>49</v>
      </c>
      <c r="C435" s="18" t="s">
        <v>731</v>
      </c>
      <c r="D435" s="18" t="s">
        <v>478</v>
      </c>
      <c r="E435" s="19" t="s">
        <v>919</v>
      </c>
      <c r="F435" s="18" t="s">
        <v>2630</v>
      </c>
      <c r="G435" s="18" t="n">
        <v>0.72</v>
      </c>
      <c r="H435" s="18" t="s">
        <v>2633</v>
      </c>
      <c r="I435" s="19"/>
      <c r="J435" s="18"/>
    </row>
    <row r="436" customFormat="false" ht="32.8" hidden="false" customHeight="false" outlineLevel="0" collapsed="false">
      <c r="A436" s="18" t="s">
        <v>920</v>
      </c>
      <c r="B436" s="18" t="s">
        <v>49</v>
      </c>
      <c r="C436" s="18" t="s">
        <v>731</v>
      </c>
      <c r="D436" s="18" t="s">
        <v>478</v>
      </c>
      <c r="E436" s="19" t="s">
        <v>921</v>
      </c>
      <c r="F436" s="18" t="s">
        <v>2624</v>
      </c>
      <c r="G436" s="18" t="n">
        <v>0.91</v>
      </c>
      <c r="H436" s="18" t="s">
        <v>2633</v>
      </c>
      <c r="I436" s="19"/>
      <c r="J436" s="18"/>
    </row>
    <row r="437" customFormat="false" ht="32.8" hidden="false" customHeight="false" outlineLevel="0" collapsed="false">
      <c r="A437" s="18" t="s">
        <v>922</v>
      </c>
      <c r="B437" s="18" t="s">
        <v>49</v>
      </c>
      <c r="C437" s="18" t="s">
        <v>731</v>
      </c>
      <c r="D437" s="18" t="s">
        <v>478</v>
      </c>
      <c r="E437" s="19" t="s">
        <v>923</v>
      </c>
      <c r="F437" s="18" t="s">
        <v>2648</v>
      </c>
      <c r="G437" s="18" t="n">
        <v>0.11</v>
      </c>
      <c r="H437" s="18"/>
      <c r="I437" s="19" t="s">
        <v>2649</v>
      </c>
      <c r="J437" s="18"/>
    </row>
    <row r="438" customFormat="false" ht="43.25" hidden="false" customHeight="false" outlineLevel="0" collapsed="false">
      <c r="A438" s="18" t="s">
        <v>924</v>
      </c>
      <c r="B438" s="18" t="s">
        <v>49</v>
      </c>
      <c r="C438" s="18" t="s">
        <v>731</v>
      </c>
      <c r="D438" s="18" t="s">
        <v>478</v>
      </c>
      <c r="E438" s="19" t="s">
        <v>925</v>
      </c>
      <c r="F438" s="18" t="s">
        <v>2648</v>
      </c>
      <c r="G438" s="18" t="n">
        <v>0.07</v>
      </c>
      <c r="H438" s="18"/>
      <c r="I438" s="19" t="s">
        <v>2649</v>
      </c>
      <c r="J438" s="18"/>
    </row>
    <row r="439" customFormat="false" ht="32.8" hidden="false" customHeight="false" outlineLevel="0" collapsed="false">
      <c r="A439" s="18" t="s">
        <v>926</v>
      </c>
      <c r="B439" s="18" t="s">
        <v>49</v>
      </c>
      <c r="C439" s="18" t="s">
        <v>731</v>
      </c>
      <c r="D439" s="18" t="s">
        <v>478</v>
      </c>
      <c r="E439" s="19" t="s">
        <v>927</v>
      </c>
      <c r="F439" s="18" t="s">
        <v>2624</v>
      </c>
      <c r="G439" s="18" t="n">
        <v>0.89</v>
      </c>
      <c r="H439" s="18" t="s">
        <v>2633</v>
      </c>
      <c r="I439" s="19"/>
      <c r="J439" s="18"/>
    </row>
    <row r="440" customFormat="false" ht="15" hidden="false" customHeight="false" outlineLevel="0" collapsed="false">
      <c r="A440" s="18" t="s">
        <v>928</v>
      </c>
      <c r="B440" s="18" t="s">
        <v>49</v>
      </c>
      <c r="C440" s="18" t="s">
        <v>731</v>
      </c>
      <c r="D440" s="18" t="s">
        <v>478</v>
      </c>
      <c r="E440" s="19" t="s">
        <v>491</v>
      </c>
      <c r="F440" s="18" t="s">
        <v>2624</v>
      </c>
      <c r="G440" s="18" t="n">
        <v>1</v>
      </c>
      <c r="H440" s="18" t="s">
        <v>2650</v>
      </c>
      <c r="I440" s="19"/>
      <c r="J440" s="18"/>
    </row>
    <row r="441" customFormat="false" ht="22.35" hidden="false" customHeight="false" outlineLevel="0" collapsed="false">
      <c r="A441" s="18" t="s">
        <v>929</v>
      </c>
      <c r="B441" s="18" t="s">
        <v>49</v>
      </c>
      <c r="C441" s="18" t="s">
        <v>731</v>
      </c>
      <c r="D441" s="18" t="s">
        <v>478</v>
      </c>
      <c r="E441" s="19" t="s">
        <v>930</v>
      </c>
      <c r="F441" s="18" t="s">
        <v>2624</v>
      </c>
      <c r="G441" s="18" t="n">
        <v>1</v>
      </c>
      <c r="H441" s="18" t="s">
        <v>2644</v>
      </c>
      <c r="I441" s="19"/>
      <c r="J441" s="18"/>
    </row>
    <row r="442" customFormat="false" ht="15" hidden="false" customHeight="false" outlineLevel="0" collapsed="false">
      <c r="A442" s="18" t="s">
        <v>931</v>
      </c>
      <c r="B442" s="18" t="s">
        <v>49</v>
      </c>
      <c r="C442" s="18" t="s">
        <v>731</v>
      </c>
      <c r="D442" s="18" t="s">
        <v>478</v>
      </c>
      <c r="E442" s="19" t="s">
        <v>720</v>
      </c>
      <c r="F442" s="18" t="s">
        <v>2624</v>
      </c>
      <c r="G442" s="18" t="n">
        <v>1</v>
      </c>
      <c r="H442" s="18" t="s">
        <v>2650</v>
      </c>
      <c r="I442" s="19"/>
      <c r="J442" s="18"/>
    </row>
    <row r="443" customFormat="false" ht="22.35" hidden="false" customHeight="false" outlineLevel="0" collapsed="false">
      <c r="A443" s="18" t="s">
        <v>932</v>
      </c>
      <c r="B443" s="18" t="s">
        <v>49</v>
      </c>
      <c r="C443" s="18" t="s">
        <v>731</v>
      </c>
      <c r="D443" s="18" t="s">
        <v>478</v>
      </c>
      <c r="E443" s="19" t="s">
        <v>933</v>
      </c>
      <c r="F443" s="18" t="s">
        <v>2624</v>
      </c>
      <c r="G443" s="18" t="n">
        <v>1</v>
      </c>
      <c r="H443" s="18" t="s">
        <v>2644</v>
      </c>
      <c r="I443" s="19"/>
      <c r="J443" s="18"/>
    </row>
    <row r="444" customFormat="false" ht="22.35" hidden="false" customHeight="false" outlineLevel="0" collapsed="false">
      <c r="A444" s="18" t="s">
        <v>934</v>
      </c>
      <c r="B444" s="18" t="s">
        <v>49</v>
      </c>
      <c r="C444" s="18" t="s">
        <v>731</v>
      </c>
      <c r="D444" s="18" t="s">
        <v>478</v>
      </c>
      <c r="E444" s="19" t="s">
        <v>935</v>
      </c>
      <c r="F444" s="18" t="s">
        <v>2624</v>
      </c>
      <c r="G444" s="18" t="n">
        <v>1</v>
      </c>
      <c r="H444" s="18" t="s">
        <v>2644</v>
      </c>
      <c r="I444" s="19"/>
      <c r="J444" s="18"/>
    </row>
    <row r="445" customFormat="false" ht="22.35" hidden="false" customHeight="false" outlineLevel="0" collapsed="false">
      <c r="A445" s="18" t="s">
        <v>936</v>
      </c>
      <c r="B445" s="18" t="s">
        <v>49</v>
      </c>
      <c r="C445" s="18" t="s">
        <v>731</v>
      </c>
      <c r="D445" s="18" t="s">
        <v>478</v>
      </c>
      <c r="E445" s="19" t="s">
        <v>937</v>
      </c>
      <c r="F445" s="18" t="s">
        <v>2624</v>
      </c>
      <c r="G445" s="18" t="n">
        <v>1</v>
      </c>
      <c r="H445" s="18" t="s">
        <v>2644</v>
      </c>
      <c r="I445" s="19"/>
      <c r="J445" s="18"/>
    </row>
    <row r="446" customFormat="false" ht="32.8" hidden="false" customHeight="false" outlineLevel="0" collapsed="false">
      <c r="A446" s="18" t="s">
        <v>938</v>
      </c>
      <c r="B446" s="18" t="s">
        <v>49</v>
      </c>
      <c r="C446" s="18" t="s">
        <v>731</v>
      </c>
      <c r="D446" s="18" t="s">
        <v>478</v>
      </c>
      <c r="E446" s="19" t="s">
        <v>939</v>
      </c>
      <c r="F446" s="18" t="s">
        <v>2631</v>
      </c>
      <c r="G446" s="18" t="n">
        <v>0.21</v>
      </c>
      <c r="H446" s="18"/>
      <c r="I446" s="19" t="s">
        <v>2658</v>
      </c>
      <c r="J446" s="18"/>
    </row>
    <row r="447" customFormat="false" ht="22.35" hidden="false" customHeight="false" outlineLevel="0" collapsed="false">
      <c r="A447" s="18" t="s">
        <v>940</v>
      </c>
      <c r="B447" s="18" t="s">
        <v>51</v>
      </c>
      <c r="C447" s="18" t="s">
        <v>942</v>
      </c>
      <c r="D447" s="18" t="s">
        <v>158</v>
      </c>
      <c r="E447" s="19" t="s">
        <v>941</v>
      </c>
      <c r="F447" s="18" t="s">
        <v>2631</v>
      </c>
      <c r="G447" s="18" t="n">
        <v>0</v>
      </c>
      <c r="H447" s="18"/>
      <c r="I447" s="19" t="s">
        <v>2655</v>
      </c>
      <c r="J447" s="18"/>
    </row>
    <row r="448" customFormat="false" ht="15" hidden="false" customHeight="false" outlineLevel="0" collapsed="false">
      <c r="A448" s="18" t="s">
        <v>943</v>
      </c>
      <c r="B448" s="18" t="s">
        <v>51</v>
      </c>
      <c r="C448" s="18" t="s">
        <v>731</v>
      </c>
      <c r="D448" s="18" t="s">
        <v>354</v>
      </c>
      <c r="E448" s="19" t="s">
        <v>944</v>
      </c>
      <c r="F448" s="18" t="s">
        <v>2624</v>
      </c>
      <c r="G448" s="18" t="n">
        <v>1</v>
      </c>
      <c r="H448" s="18" t="s">
        <v>2656</v>
      </c>
      <c r="I448" s="19"/>
      <c r="J448" s="18"/>
    </row>
    <row r="449" customFormat="false" ht="15" hidden="false" customHeight="false" outlineLevel="0" collapsed="false">
      <c r="A449" s="18" t="s">
        <v>945</v>
      </c>
      <c r="B449" s="18" t="s">
        <v>51</v>
      </c>
      <c r="C449" s="18" t="s">
        <v>942</v>
      </c>
      <c r="D449" s="18" t="s">
        <v>93</v>
      </c>
      <c r="E449" s="19" t="s">
        <v>92</v>
      </c>
      <c r="F449" s="18" t="s">
        <v>2624</v>
      </c>
      <c r="G449" s="18" t="n">
        <v>1</v>
      </c>
      <c r="H449" s="18" t="s">
        <v>2625</v>
      </c>
      <c r="I449" s="19"/>
      <c r="J449" s="18"/>
    </row>
    <row r="450" customFormat="false" ht="15" hidden="false" customHeight="false" outlineLevel="0" collapsed="false">
      <c r="A450" s="18" t="s">
        <v>946</v>
      </c>
      <c r="B450" s="18" t="s">
        <v>51</v>
      </c>
      <c r="C450" s="18" t="s">
        <v>942</v>
      </c>
      <c r="D450" s="18" t="s">
        <v>93</v>
      </c>
      <c r="E450" s="19" t="s">
        <v>99</v>
      </c>
      <c r="F450" s="18" t="s">
        <v>2627</v>
      </c>
      <c r="G450" s="18" t="n">
        <v>0</v>
      </c>
      <c r="H450" s="18"/>
      <c r="I450" s="19" t="s">
        <v>2628</v>
      </c>
      <c r="J450" s="18"/>
    </row>
    <row r="451" customFormat="false" ht="15" hidden="false" customHeight="false" outlineLevel="0" collapsed="false">
      <c r="A451" s="18" t="s">
        <v>947</v>
      </c>
      <c r="B451" s="18" t="s">
        <v>51</v>
      </c>
      <c r="C451" s="18" t="s">
        <v>942</v>
      </c>
      <c r="D451" s="18" t="s">
        <v>93</v>
      </c>
      <c r="E451" s="19" t="s">
        <v>948</v>
      </c>
      <c r="F451" s="18" t="s">
        <v>2627</v>
      </c>
      <c r="G451" s="18" t="n">
        <v>0</v>
      </c>
      <c r="H451" s="18"/>
      <c r="I451" s="19" t="s">
        <v>2628</v>
      </c>
      <c r="J451" s="18"/>
    </row>
    <row r="452" customFormat="false" ht="15" hidden="false" customHeight="false" outlineLevel="0" collapsed="false">
      <c r="A452" s="18" t="s">
        <v>949</v>
      </c>
      <c r="B452" s="18" t="s">
        <v>51</v>
      </c>
      <c r="C452" s="18" t="s">
        <v>942</v>
      </c>
      <c r="D452" s="18" t="s">
        <v>93</v>
      </c>
      <c r="E452" s="19" t="s">
        <v>950</v>
      </c>
      <c r="F452" s="18" t="s">
        <v>2627</v>
      </c>
      <c r="G452" s="18" t="n">
        <v>0</v>
      </c>
      <c r="H452" s="18"/>
      <c r="I452" s="19" t="s">
        <v>2628</v>
      </c>
      <c r="J452" s="18"/>
    </row>
    <row r="453" customFormat="false" ht="15" hidden="false" customHeight="false" outlineLevel="0" collapsed="false">
      <c r="A453" s="18" t="s">
        <v>951</v>
      </c>
      <c r="B453" s="18" t="s">
        <v>51</v>
      </c>
      <c r="C453" s="18" t="s">
        <v>942</v>
      </c>
      <c r="D453" s="18" t="s">
        <v>93</v>
      </c>
      <c r="E453" s="19" t="s">
        <v>952</v>
      </c>
      <c r="F453" s="18" t="s">
        <v>2627</v>
      </c>
      <c r="G453" s="18" t="n">
        <v>0</v>
      </c>
      <c r="H453" s="18"/>
      <c r="I453" s="19" t="s">
        <v>2628</v>
      </c>
      <c r="J453" s="18"/>
    </row>
    <row r="454" customFormat="false" ht="15" hidden="false" customHeight="false" outlineLevel="0" collapsed="false">
      <c r="A454" s="18" t="s">
        <v>953</v>
      </c>
      <c r="B454" s="18" t="s">
        <v>51</v>
      </c>
      <c r="C454" s="18" t="s">
        <v>942</v>
      </c>
      <c r="D454" s="18" t="s">
        <v>93</v>
      </c>
      <c r="E454" s="19" t="s">
        <v>954</v>
      </c>
      <c r="F454" s="18" t="s">
        <v>2627</v>
      </c>
      <c r="G454" s="18" t="n">
        <v>0</v>
      </c>
      <c r="H454" s="18"/>
      <c r="I454" s="19" t="s">
        <v>2628</v>
      </c>
      <c r="J454" s="18"/>
    </row>
    <row r="455" customFormat="false" ht="22.35" hidden="false" customHeight="false" outlineLevel="0" collapsed="false">
      <c r="A455" s="18" t="s">
        <v>955</v>
      </c>
      <c r="B455" s="18" t="s">
        <v>51</v>
      </c>
      <c r="C455" s="18" t="s">
        <v>942</v>
      </c>
      <c r="D455" s="18" t="s">
        <v>93</v>
      </c>
      <c r="E455" s="19" t="s">
        <v>272</v>
      </c>
      <c r="F455" s="18" t="s">
        <v>2627</v>
      </c>
      <c r="G455" s="18" t="n">
        <v>0.31</v>
      </c>
      <c r="H455" s="18" t="s">
        <v>2625</v>
      </c>
      <c r="I455" s="19" t="s">
        <v>2628</v>
      </c>
      <c r="J455" s="18"/>
    </row>
    <row r="456" customFormat="false" ht="53.7" hidden="false" customHeight="false" outlineLevel="0" collapsed="false">
      <c r="A456" s="18" t="s">
        <v>956</v>
      </c>
      <c r="B456" s="18" t="s">
        <v>51</v>
      </c>
      <c r="C456" s="18" t="s">
        <v>731</v>
      </c>
      <c r="D456" s="18" t="s">
        <v>93</v>
      </c>
      <c r="E456" s="19" t="s">
        <v>957</v>
      </c>
      <c r="F456" s="18" t="s">
        <v>2627</v>
      </c>
      <c r="G456" s="18" t="n">
        <v>0.06</v>
      </c>
      <c r="H456" s="18"/>
      <c r="I456" s="19" t="s">
        <v>2628</v>
      </c>
      <c r="J456" s="18"/>
    </row>
    <row r="457" customFormat="false" ht="15" hidden="false" customHeight="false" outlineLevel="0" collapsed="false">
      <c r="A457" s="18" t="s">
        <v>958</v>
      </c>
      <c r="B457" s="18" t="s">
        <v>51</v>
      </c>
      <c r="C457" s="18" t="s">
        <v>942</v>
      </c>
      <c r="D457" s="18" t="s">
        <v>93</v>
      </c>
      <c r="E457" s="19" t="s">
        <v>959</v>
      </c>
      <c r="F457" s="18" t="s">
        <v>2624</v>
      </c>
      <c r="G457" s="18" t="n">
        <v>1</v>
      </c>
      <c r="H457" s="18" t="s">
        <v>2625</v>
      </c>
      <c r="I457" s="19"/>
      <c r="J457" s="18"/>
    </row>
    <row r="458" customFormat="false" ht="15" hidden="false" customHeight="false" outlineLevel="0" collapsed="false">
      <c r="A458" s="18" t="s">
        <v>960</v>
      </c>
      <c r="B458" s="18" t="s">
        <v>51</v>
      </c>
      <c r="C458" s="18" t="s">
        <v>942</v>
      </c>
      <c r="D458" s="18" t="s">
        <v>93</v>
      </c>
      <c r="E458" s="19" t="s">
        <v>115</v>
      </c>
      <c r="F458" s="18" t="s">
        <v>2627</v>
      </c>
      <c r="G458" s="18" t="n">
        <v>0</v>
      </c>
      <c r="H458" s="18"/>
      <c r="I458" s="19" t="s">
        <v>2628</v>
      </c>
      <c r="J458" s="18"/>
    </row>
    <row r="459" customFormat="false" ht="15" hidden="false" customHeight="false" outlineLevel="0" collapsed="false">
      <c r="A459" s="18" t="s">
        <v>961</v>
      </c>
      <c r="B459" s="18" t="s">
        <v>51</v>
      </c>
      <c r="C459" s="18" t="s">
        <v>942</v>
      </c>
      <c r="D459" s="18" t="s">
        <v>93</v>
      </c>
      <c r="E459" s="19" t="s">
        <v>117</v>
      </c>
      <c r="F459" s="18" t="s">
        <v>2627</v>
      </c>
      <c r="G459" s="18" t="n">
        <v>0</v>
      </c>
      <c r="H459" s="18"/>
      <c r="I459" s="19" t="s">
        <v>2628</v>
      </c>
      <c r="J459" s="18"/>
    </row>
    <row r="460" customFormat="false" ht="15" hidden="false" customHeight="false" outlineLevel="0" collapsed="false">
      <c r="A460" s="18" t="s">
        <v>962</v>
      </c>
      <c r="B460" s="18" t="s">
        <v>51</v>
      </c>
      <c r="C460" s="18" t="s">
        <v>942</v>
      </c>
      <c r="D460" s="18" t="s">
        <v>93</v>
      </c>
      <c r="E460" s="19" t="s">
        <v>963</v>
      </c>
      <c r="F460" s="18" t="s">
        <v>2627</v>
      </c>
      <c r="G460" s="18" t="n">
        <v>0</v>
      </c>
      <c r="H460" s="18"/>
      <c r="I460" s="19" t="s">
        <v>2628</v>
      </c>
      <c r="J460" s="18"/>
    </row>
    <row r="461" customFormat="false" ht="15" hidden="false" customHeight="false" outlineLevel="0" collapsed="false">
      <c r="A461" s="18" t="s">
        <v>964</v>
      </c>
      <c r="B461" s="18" t="s">
        <v>51</v>
      </c>
      <c r="C461" s="18" t="s">
        <v>942</v>
      </c>
      <c r="D461" s="18" t="s">
        <v>93</v>
      </c>
      <c r="E461" s="19" t="s">
        <v>965</v>
      </c>
      <c r="F461" s="18" t="s">
        <v>2627</v>
      </c>
      <c r="G461" s="18" t="n">
        <v>0</v>
      </c>
      <c r="H461" s="18"/>
      <c r="I461" s="19" t="s">
        <v>2628</v>
      </c>
      <c r="J461" s="18"/>
    </row>
    <row r="462" customFormat="false" ht="15" hidden="false" customHeight="false" outlineLevel="0" collapsed="false">
      <c r="A462" s="18" t="s">
        <v>966</v>
      </c>
      <c r="B462" s="18" t="s">
        <v>51</v>
      </c>
      <c r="C462" s="18" t="s">
        <v>942</v>
      </c>
      <c r="D462" s="18" t="s">
        <v>93</v>
      </c>
      <c r="E462" s="19" t="s">
        <v>967</v>
      </c>
      <c r="F462" s="18" t="s">
        <v>2627</v>
      </c>
      <c r="G462" s="18" t="n">
        <v>0.14</v>
      </c>
      <c r="H462" s="18"/>
      <c r="I462" s="19" t="s">
        <v>2628</v>
      </c>
      <c r="J462" s="18"/>
    </row>
    <row r="463" customFormat="false" ht="15" hidden="false" customHeight="false" outlineLevel="0" collapsed="false">
      <c r="A463" s="18" t="s">
        <v>968</v>
      </c>
      <c r="B463" s="18" t="s">
        <v>51</v>
      </c>
      <c r="C463" s="18" t="s">
        <v>942</v>
      </c>
      <c r="D463" s="18" t="s">
        <v>93</v>
      </c>
      <c r="E463" s="19" t="s">
        <v>969</v>
      </c>
      <c r="F463" s="18" t="s">
        <v>2627</v>
      </c>
      <c r="G463" s="18" t="n">
        <v>0.75</v>
      </c>
      <c r="H463" s="18" t="s">
        <v>2625</v>
      </c>
      <c r="I463" s="19" t="s">
        <v>2628</v>
      </c>
      <c r="J463" s="18"/>
    </row>
    <row r="464" customFormat="false" ht="15" hidden="false" customHeight="false" outlineLevel="0" collapsed="false">
      <c r="A464" s="18" t="s">
        <v>970</v>
      </c>
      <c r="B464" s="18" t="s">
        <v>51</v>
      </c>
      <c r="C464" s="18" t="s">
        <v>942</v>
      </c>
      <c r="D464" s="18" t="s">
        <v>93</v>
      </c>
      <c r="E464" s="19" t="s">
        <v>971</v>
      </c>
      <c r="F464" s="18" t="s">
        <v>2627</v>
      </c>
      <c r="G464" s="18" t="n">
        <v>0.29</v>
      </c>
      <c r="H464" s="18"/>
      <c r="I464" s="19" t="s">
        <v>2628</v>
      </c>
      <c r="J464" s="18"/>
    </row>
    <row r="465" customFormat="false" ht="15" hidden="false" customHeight="false" outlineLevel="0" collapsed="false">
      <c r="A465" s="18" t="s">
        <v>972</v>
      </c>
      <c r="B465" s="18" t="s">
        <v>51</v>
      </c>
      <c r="C465" s="18" t="s">
        <v>942</v>
      </c>
      <c r="D465" s="18" t="s">
        <v>93</v>
      </c>
      <c r="E465" s="19" t="s">
        <v>973</v>
      </c>
      <c r="F465" s="18" t="s">
        <v>2627</v>
      </c>
      <c r="G465" s="18" t="n">
        <v>0.33</v>
      </c>
      <c r="H465" s="18" t="s">
        <v>2625</v>
      </c>
      <c r="I465" s="19" t="s">
        <v>2628</v>
      </c>
      <c r="J465" s="18"/>
    </row>
    <row r="466" customFormat="false" ht="15" hidden="false" customHeight="false" outlineLevel="0" collapsed="false">
      <c r="A466" s="18" t="s">
        <v>974</v>
      </c>
      <c r="B466" s="18" t="s">
        <v>51</v>
      </c>
      <c r="C466" s="18" t="s">
        <v>942</v>
      </c>
      <c r="D466" s="18" t="s">
        <v>93</v>
      </c>
      <c r="E466" s="19" t="s">
        <v>975</v>
      </c>
      <c r="F466" s="18" t="s">
        <v>2627</v>
      </c>
      <c r="G466" s="18" t="n">
        <v>0</v>
      </c>
      <c r="H466" s="18"/>
      <c r="I466" s="19" t="s">
        <v>2628</v>
      </c>
      <c r="J466" s="18"/>
    </row>
    <row r="467" customFormat="false" ht="15" hidden="false" customHeight="false" outlineLevel="0" collapsed="false">
      <c r="A467" s="18" t="s">
        <v>976</v>
      </c>
      <c r="B467" s="18" t="s">
        <v>51</v>
      </c>
      <c r="C467" s="18" t="s">
        <v>942</v>
      </c>
      <c r="D467" s="18" t="s">
        <v>93</v>
      </c>
      <c r="E467" s="19" t="s">
        <v>977</v>
      </c>
      <c r="F467" s="18" t="s">
        <v>2627</v>
      </c>
      <c r="G467" s="18" t="n">
        <v>0.17</v>
      </c>
      <c r="H467" s="18"/>
      <c r="I467" s="19" t="s">
        <v>2628</v>
      </c>
      <c r="J467" s="18"/>
    </row>
    <row r="468" customFormat="false" ht="15" hidden="false" customHeight="false" outlineLevel="0" collapsed="false">
      <c r="A468" s="18" t="s">
        <v>978</v>
      </c>
      <c r="B468" s="18" t="s">
        <v>51</v>
      </c>
      <c r="C468" s="18" t="s">
        <v>942</v>
      </c>
      <c r="D468" s="18" t="s">
        <v>93</v>
      </c>
      <c r="E468" s="19" t="s">
        <v>979</v>
      </c>
      <c r="F468" s="18" t="s">
        <v>2627</v>
      </c>
      <c r="G468" s="18" t="n">
        <v>0</v>
      </c>
      <c r="H468" s="18"/>
      <c r="I468" s="19" t="s">
        <v>2628</v>
      </c>
      <c r="J468" s="18"/>
    </row>
    <row r="469" customFormat="false" ht="32.8" hidden="false" customHeight="false" outlineLevel="0" collapsed="false">
      <c r="A469" s="18" t="s">
        <v>980</v>
      </c>
      <c r="B469" s="18" t="s">
        <v>51</v>
      </c>
      <c r="C469" s="18" t="s">
        <v>942</v>
      </c>
      <c r="D469" s="18" t="s">
        <v>93</v>
      </c>
      <c r="E469" s="19" t="s">
        <v>981</v>
      </c>
      <c r="F469" s="18" t="s">
        <v>2627</v>
      </c>
      <c r="G469" s="18" t="n">
        <v>0.16</v>
      </c>
      <c r="H469" s="18"/>
      <c r="I469" s="19" t="s">
        <v>2628</v>
      </c>
      <c r="J469" s="18"/>
    </row>
    <row r="470" customFormat="false" ht="22.35" hidden="false" customHeight="false" outlineLevel="0" collapsed="false">
      <c r="A470" s="18" t="s">
        <v>982</v>
      </c>
      <c r="B470" s="18" t="s">
        <v>51</v>
      </c>
      <c r="C470" s="18" t="s">
        <v>942</v>
      </c>
      <c r="D470" s="18" t="s">
        <v>93</v>
      </c>
      <c r="E470" s="19" t="s">
        <v>983</v>
      </c>
      <c r="F470" s="18" t="s">
        <v>2627</v>
      </c>
      <c r="G470" s="18" t="n">
        <v>0.29</v>
      </c>
      <c r="H470" s="18"/>
      <c r="I470" s="19" t="s">
        <v>2628</v>
      </c>
      <c r="J470" s="18"/>
    </row>
    <row r="471" customFormat="false" ht="22.35" hidden="false" customHeight="false" outlineLevel="0" collapsed="false">
      <c r="A471" s="18" t="s">
        <v>984</v>
      </c>
      <c r="B471" s="18" t="s">
        <v>51</v>
      </c>
      <c r="C471" s="18" t="s">
        <v>942</v>
      </c>
      <c r="D471" s="18" t="s">
        <v>93</v>
      </c>
      <c r="E471" s="19" t="s">
        <v>985</v>
      </c>
      <c r="F471" s="18" t="s">
        <v>2627</v>
      </c>
      <c r="G471" s="18" t="n">
        <v>0.05</v>
      </c>
      <c r="H471" s="18"/>
      <c r="I471" s="19" t="s">
        <v>2628</v>
      </c>
      <c r="J471" s="18"/>
    </row>
    <row r="472" customFormat="false" ht="15" hidden="false" customHeight="false" outlineLevel="0" collapsed="false">
      <c r="A472" s="18" t="s">
        <v>986</v>
      </c>
      <c r="B472" s="18" t="s">
        <v>51</v>
      </c>
      <c r="C472" s="18" t="s">
        <v>942</v>
      </c>
      <c r="D472" s="18" t="s">
        <v>93</v>
      </c>
      <c r="E472" s="19" t="s">
        <v>987</v>
      </c>
      <c r="F472" s="18" t="s">
        <v>2627</v>
      </c>
      <c r="G472" s="18" t="n">
        <v>0</v>
      </c>
      <c r="H472" s="18"/>
      <c r="I472" s="19" t="s">
        <v>2628</v>
      </c>
      <c r="J472" s="18"/>
    </row>
    <row r="473" customFormat="false" ht="15" hidden="false" customHeight="false" outlineLevel="0" collapsed="false">
      <c r="A473" s="18" t="s">
        <v>988</v>
      </c>
      <c r="B473" s="18" t="s">
        <v>51</v>
      </c>
      <c r="C473" s="18" t="s">
        <v>942</v>
      </c>
      <c r="D473" s="18" t="s">
        <v>93</v>
      </c>
      <c r="E473" s="19" t="s">
        <v>989</v>
      </c>
      <c r="F473" s="18" t="s">
        <v>2627</v>
      </c>
      <c r="G473" s="18" t="n">
        <v>0.18</v>
      </c>
      <c r="H473" s="18"/>
      <c r="I473" s="19" t="s">
        <v>2628</v>
      </c>
      <c r="J473" s="18"/>
    </row>
    <row r="474" customFormat="false" ht="22.35" hidden="false" customHeight="false" outlineLevel="0" collapsed="false">
      <c r="A474" s="18" t="s">
        <v>990</v>
      </c>
      <c r="B474" s="18" t="s">
        <v>51</v>
      </c>
      <c r="C474" s="18" t="s">
        <v>942</v>
      </c>
      <c r="D474" s="18" t="s">
        <v>93</v>
      </c>
      <c r="E474" s="19" t="s">
        <v>991</v>
      </c>
      <c r="F474" s="18" t="s">
        <v>2627</v>
      </c>
      <c r="G474" s="18" t="n">
        <v>0.06</v>
      </c>
      <c r="H474" s="18"/>
      <c r="I474" s="19" t="s">
        <v>2628</v>
      </c>
      <c r="J474" s="18"/>
    </row>
    <row r="475" customFormat="false" ht="32.8" hidden="false" customHeight="false" outlineLevel="0" collapsed="false">
      <c r="A475" s="18" t="s">
        <v>992</v>
      </c>
      <c r="B475" s="18" t="s">
        <v>51</v>
      </c>
      <c r="C475" s="18" t="s">
        <v>942</v>
      </c>
      <c r="D475" s="18" t="s">
        <v>93</v>
      </c>
      <c r="E475" s="19" t="s">
        <v>993</v>
      </c>
      <c r="F475" s="18" t="s">
        <v>2627</v>
      </c>
      <c r="G475" s="18" t="n">
        <v>0.03</v>
      </c>
      <c r="H475" s="18"/>
      <c r="I475" s="19" t="s">
        <v>2628</v>
      </c>
      <c r="J475" s="18"/>
    </row>
    <row r="476" customFormat="false" ht="15" hidden="false" customHeight="false" outlineLevel="0" collapsed="false">
      <c r="A476" s="18" t="s">
        <v>994</v>
      </c>
      <c r="B476" s="18" t="s">
        <v>51</v>
      </c>
      <c r="C476" s="18" t="s">
        <v>942</v>
      </c>
      <c r="D476" s="18" t="s">
        <v>93</v>
      </c>
      <c r="E476" s="19" t="s">
        <v>309</v>
      </c>
      <c r="F476" s="18" t="s">
        <v>2624</v>
      </c>
      <c r="G476" s="18" t="n">
        <v>1</v>
      </c>
      <c r="H476" s="18" t="s">
        <v>2625</v>
      </c>
      <c r="I476" s="19"/>
      <c r="J476" s="18"/>
    </row>
    <row r="477" customFormat="false" ht="15" hidden="false" customHeight="false" outlineLevel="0" collapsed="false">
      <c r="A477" s="18" t="s">
        <v>995</v>
      </c>
      <c r="B477" s="18" t="s">
        <v>51</v>
      </c>
      <c r="C477" s="18" t="s">
        <v>942</v>
      </c>
      <c r="D477" s="18" t="s">
        <v>93</v>
      </c>
      <c r="E477" s="19" t="s">
        <v>996</v>
      </c>
      <c r="F477" s="18" t="s">
        <v>2627</v>
      </c>
      <c r="G477" s="18" t="n">
        <v>0</v>
      </c>
      <c r="H477" s="18"/>
      <c r="I477" s="19" t="s">
        <v>2628</v>
      </c>
      <c r="J477" s="18"/>
    </row>
    <row r="478" customFormat="false" ht="15" hidden="false" customHeight="false" outlineLevel="0" collapsed="false">
      <c r="A478" s="18" t="s">
        <v>997</v>
      </c>
      <c r="B478" s="18" t="s">
        <v>51</v>
      </c>
      <c r="C478" s="18" t="s">
        <v>942</v>
      </c>
      <c r="D478" s="18" t="s">
        <v>93</v>
      </c>
      <c r="E478" s="19" t="s">
        <v>998</v>
      </c>
      <c r="F478" s="18" t="s">
        <v>2627</v>
      </c>
      <c r="G478" s="18" t="n">
        <v>0</v>
      </c>
      <c r="H478" s="18"/>
      <c r="I478" s="19" t="s">
        <v>2628</v>
      </c>
      <c r="J478" s="18"/>
    </row>
    <row r="479" customFormat="false" ht="22.35" hidden="false" customHeight="false" outlineLevel="0" collapsed="false">
      <c r="A479" s="18" t="s">
        <v>999</v>
      </c>
      <c r="B479" s="18" t="s">
        <v>51</v>
      </c>
      <c r="C479" s="18" t="s">
        <v>942</v>
      </c>
      <c r="D479" s="18" t="s">
        <v>93</v>
      </c>
      <c r="E479" s="19" t="s">
        <v>1000</v>
      </c>
      <c r="F479" s="18" t="s">
        <v>2627</v>
      </c>
      <c r="G479" s="18" t="n">
        <v>0.17</v>
      </c>
      <c r="H479" s="18"/>
      <c r="I479" s="19" t="s">
        <v>2628</v>
      </c>
      <c r="J479" s="18"/>
    </row>
    <row r="480" customFormat="false" ht="22.35" hidden="false" customHeight="false" outlineLevel="0" collapsed="false">
      <c r="A480" s="18" t="s">
        <v>1001</v>
      </c>
      <c r="B480" s="18" t="s">
        <v>51</v>
      </c>
      <c r="C480" s="18" t="s">
        <v>942</v>
      </c>
      <c r="D480" s="18" t="s">
        <v>93</v>
      </c>
      <c r="E480" s="19" t="s">
        <v>1002</v>
      </c>
      <c r="F480" s="18" t="s">
        <v>2627</v>
      </c>
      <c r="G480" s="18" t="n">
        <v>0.06</v>
      </c>
      <c r="H480" s="18"/>
      <c r="I480" s="19" t="s">
        <v>2628</v>
      </c>
      <c r="J480" s="18"/>
    </row>
    <row r="481" customFormat="false" ht="22.35" hidden="false" customHeight="false" outlineLevel="0" collapsed="false">
      <c r="A481" s="18" t="s">
        <v>1003</v>
      </c>
      <c r="B481" s="18" t="s">
        <v>51</v>
      </c>
      <c r="C481" s="18" t="s">
        <v>942</v>
      </c>
      <c r="D481" s="18" t="s">
        <v>93</v>
      </c>
      <c r="E481" s="19" t="s">
        <v>1004</v>
      </c>
      <c r="F481" s="18" t="s">
        <v>2627</v>
      </c>
      <c r="G481" s="18" t="n">
        <v>0.29</v>
      </c>
      <c r="H481" s="18"/>
      <c r="I481" s="19" t="s">
        <v>2628</v>
      </c>
      <c r="J481" s="18"/>
    </row>
    <row r="482" customFormat="false" ht="22.35" hidden="false" customHeight="false" outlineLevel="0" collapsed="false">
      <c r="A482" s="18" t="s">
        <v>1005</v>
      </c>
      <c r="B482" s="18" t="s">
        <v>51</v>
      </c>
      <c r="C482" s="18" t="s">
        <v>942</v>
      </c>
      <c r="D482" s="18" t="s">
        <v>93</v>
      </c>
      <c r="E482" s="19" t="s">
        <v>1006</v>
      </c>
      <c r="F482" s="18" t="s">
        <v>2627</v>
      </c>
      <c r="G482" s="18" t="n">
        <v>0.12</v>
      </c>
      <c r="H482" s="18"/>
      <c r="I482" s="19" t="s">
        <v>2628</v>
      </c>
      <c r="J482" s="18"/>
    </row>
    <row r="483" customFormat="false" ht="32.8" hidden="false" customHeight="false" outlineLevel="0" collapsed="false">
      <c r="A483" s="18" t="s">
        <v>1007</v>
      </c>
      <c r="B483" s="18" t="s">
        <v>51</v>
      </c>
      <c r="C483" s="18" t="s">
        <v>942</v>
      </c>
      <c r="D483" s="18" t="s">
        <v>93</v>
      </c>
      <c r="E483" s="19" t="s">
        <v>1008</v>
      </c>
      <c r="F483" s="18" t="s">
        <v>2627</v>
      </c>
      <c r="G483" s="18" t="n">
        <v>0.05</v>
      </c>
      <c r="H483" s="18"/>
      <c r="I483" s="19" t="s">
        <v>2628</v>
      </c>
      <c r="J483" s="18"/>
    </row>
    <row r="484" customFormat="false" ht="15" hidden="false" customHeight="false" outlineLevel="0" collapsed="false">
      <c r="A484" s="18" t="s">
        <v>1009</v>
      </c>
      <c r="B484" s="18" t="s">
        <v>51</v>
      </c>
      <c r="C484" s="18" t="s">
        <v>942</v>
      </c>
      <c r="D484" s="18" t="s">
        <v>93</v>
      </c>
      <c r="E484" s="19" t="s">
        <v>1010</v>
      </c>
      <c r="F484" s="18" t="s">
        <v>2624</v>
      </c>
      <c r="G484" s="18" t="n">
        <v>1</v>
      </c>
      <c r="H484" s="18" t="s">
        <v>2625</v>
      </c>
      <c r="I484" s="19"/>
      <c r="J484" s="18"/>
    </row>
    <row r="485" customFormat="false" ht="15" hidden="false" customHeight="false" outlineLevel="0" collapsed="false">
      <c r="A485" s="18" t="s">
        <v>1011</v>
      </c>
      <c r="B485" s="18" t="s">
        <v>51</v>
      </c>
      <c r="C485" s="18" t="s">
        <v>942</v>
      </c>
      <c r="D485" s="18" t="s">
        <v>93</v>
      </c>
      <c r="E485" s="19" t="s">
        <v>1012</v>
      </c>
      <c r="F485" s="18" t="s">
        <v>2627</v>
      </c>
      <c r="G485" s="18" t="n">
        <v>0</v>
      </c>
      <c r="H485" s="18"/>
      <c r="I485" s="19" t="s">
        <v>2628</v>
      </c>
      <c r="J485" s="18"/>
    </row>
    <row r="486" customFormat="false" ht="15" hidden="false" customHeight="false" outlineLevel="0" collapsed="false">
      <c r="A486" s="18" t="s">
        <v>1013</v>
      </c>
      <c r="B486" s="18" t="s">
        <v>51</v>
      </c>
      <c r="C486" s="18" t="s">
        <v>942</v>
      </c>
      <c r="D486" s="18" t="s">
        <v>93</v>
      </c>
      <c r="E486" s="19" t="s">
        <v>1014</v>
      </c>
      <c r="F486" s="18" t="s">
        <v>2627</v>
      </c>
      <c r="G486" s="18" t="n">
        <v>0</v>
      </c>
      <c r="H486" s="18"/>
      <c r="I486" s="19" t="s">
        <v>2628</v>
      </c>
      <c r="J486" s="18"/>
    </row>
    <row r="487" customFormat="false" ht="22.35" hidden="false" customHeight="false" outlineLevel="0" collapsed="false">
      <c r="A487" s="18" t="s">
        <v>1015</v>
      </c>
      <c r="B487" s="18" t="s">
        <v>51</v>
      </c>
      <c r="C487" s="18" t="s">
        <v>942</v>
      </c>
      <c r="D487" s="18" t="s">
        <v>93</v>
      </c>
      <c r="E487" s="19" t="s">
        <v>1016</v>
      </c>
      <c r="F487" s="18" t="s">
        <v>2627</v>
      </c>
      <c r="G487" s="18" t="n">
        <v>0.24</v>
      </c>
      <c r="H487" s="18"/>
      <c r="I487" s="19" t="s">
        <v>2628</v>
      </c>
      <c r="J487" s="18"/>
    </row>
    <row r="488" customFormat="false" ht="22.35" hidden="false" customHeight="false" outlineLevel="0" collapsed="false">
      <c r="A488" s="18" t="s">
        <v>1017</v>
      </c>
      <c r="B488" s="18" t="s">
        <v>51</v>
      </c>
      <c r="C488" s="18" t="s">
        <v>942</v>
      </c>
      <c r="D488" s="18" t="s">
        <v>93</v>
      </c>
      <c r="E488" s="19" t="s">
        <v>1018</v>
      </c>
      <c r="F488" s="18" t="s">
        <v>2627</v>
      </c>
      <c r="G488" s="18" t="n">
        <v>0.06</v>
      </c>
      <c r="H488" s="18"/>
      <c r="I488" s="19" t="s">
        <v>2628</v>
      </c>
      <c r="J488" s="18"/>
    </row>
    <row r="489" customFormat="false" ht="53.7" hidden="false" customHeight="false" outlineLevel="0" collapsed="false">
      <c r="A489" s="18" t="s">
        <v>1019</v>
      </c>
      <c r="B489" s="18" t="s">
        <v>51</v>
      </c>
      <c r="C489" s="18" t="s">
        <v>731</v>
      </c>
      <c r="D489" s="18" t="s">
        <v>93</v>
      </c>
      <c r="E489" s="19" t="s">
        <v>1020</v>
      </c>
      <c r="F489" s="18" t="s">
        <v>2627</v>
      </c>
      <c r="G489" s="18" t="n">
        <v>0.06</v>
      </c>
      <c r="H489" s="18"/>
      <c r="I489" s="19" t="s">
        <v>2628</v>
      </c>
      <c r="J489" s="18"/>
    </row>
    <row r="490" customFormat="false" ht="22.35" hidden="false" customHeight="false" outlineLevel="0" collapsed="false">
      <c r="A490" s="18" t="s">
        <v>1021</v>
      </c>
      <c r="B490" s="18" t="s">
        <v>51</v>
      </c>
      <c r="C490" s="18" t="s">
        <v>942</v>
      </c>
      <c r="D490" s="18" t="s">
        <v>84</v>
      </c>
      <c r="E490" s="19" t="s">
        <v>331</v>
      </c>
      <c r="F490" s="18" t="s">
        <v>2631</v>
      </c>
      <c r="G490" s="18" t="n">
        <v>0.17</v>
      </c>
      <c r="H490" s="18"/>
      <c r="I490" s="19" t="s">
        <v>2639</v>
      </c>
      <c r="J490" s="18"/>
    </row>
    <row r="491" customFormat="false" ht="22.35" hidden="false" customHeight="false" outlineLevel="0" collapsed="false">
      <c r="A491" s="18" t="s">
        <v>1022</v>
      </c>
      <c r="B491" s="18" t="s">
        <v>51</v>
      </c>
      <c r="C491" s="18" t="s">
        <v>942</v>
      </c>
      <c r="D491" s="18" t="s">
        <v>84</v>
      </c>
      <c r="E491" s="19" t="s">
        <v>1023</v>
      </c>
      <c r="F491" s="18" t="s">
        <v>2631</v>
      </c>
      <c r="G491" s="18" t="n">
        <v>0.17</v>
      </c>
      <c r="H491" s="18"/>
      <c r="I491" s="19" t="s">
        <v>2639</v>
      </c>
      <c r="J491" s="18"/>
    </row>
    <row r="492" customFormat="false" ht="32.8" hidden="false" customHeight="false" outlineLevel="0" collapsed="false">
      <c r="A492" s="18" t="s">
        <v>1024</v>
      </c>
      <c r="B492" s="18" t="s">
        <v>51</v>
      </c>
      <c r="C492" s="18" t="s">
        <v>942</v>
      </c>
      <c r="D492" s="18" t="s">
        <v>84</v>
      </c>
      <c r="E492" s="19" t="s">
        <v>1025</v>
      </c>
      <c r="F492" s="18" t="s">
        <v>2631</v>
      </c>
      <c r="G492" s="18" t="n">
        <v>0.09</v>
      </c>
      <c r="H492" s="18"/>
      <c r="I492" s="19" t="s">
        <v>2639</v>
      </c>
      <c r="J492" s="18"/>
    </row>
    <row r="493" customFormat="false" ht="22.35" hidden="false" customHeight="false" outlineLevel="0" collapsed="false">
      <c r="A493" s="18" t="s">
        <v>1026</v>
      </c>
      <c r="B493" s="18" t="s">
        <v>51</v>
      </c>
      <c r="C493" s="18" t="s">
        <v>942</v>
      </c>
      <c r="D493" s="18" t="s">
        <v>84</v>
      </c>
      <c r="E493" s="19" t="s">
        <v>1027</v>
      </c>
      <c r="F493" s="18" t="s">
        <v>2631</v>
      </c>
      <c r="G493" s="18" t="n">
        <v>0.07</v>
      </c>
      <c r="H493" s="18"/>
      <c r="I493" s="19" t="s">
        <v>2639</v>
      </c>
      <c r="J493" s="18"/>
    </row>
    <row r="494" customFormat="false" ht="22.35" hidden="false" customHeight="false" outlineLevel="0" collapsed="false">
      <c r="A494" s="18" t="s">
        <v>1028</v>
      </c>
      <c r="B494" s="18" t="s">
        <v>51</v>
      </c>
      <c r="C494" s="18" t="s">
        <v>942</v>
      </c>
      <c r="D494" s="18" t="s">
        <v>84</v>
      </c>
      <c r="E494" s="19" t="s">
        <v>1029</v>
      </c>
      <c r="F494" s="18" t="s">
        <v>2631</v>
      </c>
      <c r="G494" s="18" t="n">
        <v>0.67</v>
      </c>
      <c r="H494" s="18" t="s">
        <v>2625</v>
      </c>
      <c r="I494" s="19" t="s">
        <v>2639</v>
      </c>
      <c r="J494" s="18"/>
    </row>
    <row r="495" customFormat="false" ht="22.35" hidden="false" customHeight="false" outlineLevel="0" collapsed="false">
      <c r="A495" s="18" t="s">
        <v>1030</v>
      </c>
      <c r="B495" s="18" t="s">
        <v>51</v>
      </c>
      <c r="C495" s="18" t="s">
        <v>942</v>
      </c>
      <c r="D495" s="18" t="s">
        <v>84</v>
      </c>
      <c r="E495" s="19" t="s">
        <v>1031</v>
      </c>
      <c r="F495" s="18" t="s">
        <v>2631</v>
      </c>
      <c r="G495" s="18" t="n">
        <v>0.21</v>
      </c>
      <c r="H495" s="18"/>
      <c r="I495" s="19" t="s">
        <v>2639</v>
      </c>
      <c r="J495" s="18"/>
    </row>
    <row r="496" customFormat="false" ht="15" hidden="false" customHeight="false" outlineLevel="0" collapsed="false">
      <c r="A496" s="18" t="s">
        <v>1032</v>
      </c>
      <c r="B496" s="18" t="s">
        <v>51</v>
      </c>
      <c r="C496" s="18" t="s">
        <v>942</v>
      </c>
      <c r="D496" s="18" t="s">
        <v>158</v>
      </c>
      <c r="E496" s="19" t="s">
        <v>1033</v>
      </c>
      <c r="F496" s="18" t="s">
        <v>2624</v>
      </c>
      <c r="G496" s="18" t="n">
        <v>1</v>
      </c>
      <c r="H496" s="18" t="s">
        <v>2659</v>
      </c>
      <c r="I496" s="19"/>
      <c r="J496" s="18"/>
    </row>
    <row r="497" customFormat="false" ht="22.35" hidden="false" customHeight="false" outlineLevel="0" collapsed="false">
      <c r="A497" s="18" t="s">
        <v>1034</v>
      </c>
      <c r="B497" s="18" t="s">
        <v>51</v>
      </c>
      <c r="C497" s="18" t="s">
        <v>942</v>
      </c>
      <c r="D497" s="18" t="s">
        <v>158</v>
      </c>
      <c r="E497" s="19" t="s">
        <v>1035</v>
      </c>
      <c r="F497" s="18" t="s">
        <v>2624</v>
      </c>
      <c r="G497" s="18" t="n">
        <v>1</v>
      </c>
      <c r="H497" s="18" t="s">
        <v>2659</v>
      </c>
      <c r="I497" s="19"/>
      <c r="J497" s="18"/>
    </row>
    <row r="498" customFormat="false" ht="15" hidden="false" customHeight="false" outlineLevel="0" collapsed="false">
      <c r="A498" s="18" t="s">
        <v>1036</v>
      </c>
      <c r="B498" s="18" t="s">
        <v>51</v>
      </c>
      <c r="C498" s="18" t="s">
        <v>942</v>
      </c>
      <c r="D498" s="18" t="s">
        <v>168</v>
      </c>
      <c r="E498" s="19" t="s">
        <v>1037</v>
      </c>
      <c r="F498" s="18" t="s">
        <v>2624</v>
      </c>
      <c r="G498" s="18" t="n">
        <v>1</v>
      </c>
      <c r="H498" s="18" t="s">
        <v>2659</v>
      </c>
      <c r="I498" s="19"/>
      <c r="J498" s="18"/>
    </row>
    <row r="499" customFormat="false" ht="32.8" hidden="false" customHeight="false" outlineLevel="0" collapsed="false">
      <c r="A499" s="18" t="s">
        <v>1038</v>
      </c>
      <c r="B499" s="18" t="s">
        <v>51</v>
      </c>
      <c r="C499" s="18" t="s">
        <v>942</v>
      </c>
      <c r="D499" s="18" t="s">
        <v>168</v>
      </c>
      <c r="E499" s="19" t="s">
        <v>1039</v>
      </c>
      <c r="F499" s="18" t="s">
        <v>2624</v>
      </c>
      <c r="G499" s="18" t="n">
        <v>1</v>
      </c>
      <c r="H499" s="18" t="s">
        <v>2625</v>
      </c>
      <c r="I499" s="19"/>
      <c r="J499" s="18"/>
    </row>
    <row r="500" customFormat="false" ht="22.35" hidden="false" customHeight="false" outlineLevel="0" collapsed="false">
      <c r="A500" s="18" t="s">
        <v>1040</v>
      </c>
      <c r="B500" s="18" t="s">
        <v>51</v>
      </c>
      <c r="C500" s="18" t="s">
        <v>942</v>
      </c>
      <c r="D500" s="18" t="s">
        <v>168</v>
      </c>
      <c r="E500" s="19" t="s">
        <v>167</v>
      </c>
      <c r="F500" s="18" t="s">
        <v>2631</v>
      </c>
      <c r="G500" s="18" t="n">
        <v>0</v>
      </c>
      <c r="H500" s="18"/>
      <c r="I500" s="19" t="s">
        <v>2632</v>
      </c>
      <c r="J500" s="18"/>
    </row>
    <row r="501" customFormat="false" ht="95.5" hidden="false" customHeight="false" outlineLevel="0" collapsed="false">
      <c r="A501" s="18" t="s">
        <v>1041</v>
      </c>
      <c r="B501" s="18" t="s">
        <v>51</v>
      </c>
      <c r="C501" s="18" t="s">
        <v>942</v>
      </c>
      <c r="D501" s="18" t="s">
        <v>168</v>
      </c>
      <c r="E501" s="19" t="s">
        <v>1042</v>
      </c>
      <c r="F501" s="18" t="s">
        <v>2624</v>
      </c>
      <c r="G501" s="18" t="n">
        <v>1</v>
      </c>
      <c r="H501" s="18" t="s">
        <v>2625</v>
      </c>
      <c r="I501" s="19"/>
      <c r="J501" s="18"/>
    </row>
    <row r="502" customFormat="false" ht="95.5" hidden="false" customHeight="false" outlineLevel="0" collapsed="false">
      <c r="A502" s="18" t="s">
        <v>1043</v>
      </c>
      <c r="B502" s="18" t="s">
        <v>51</v>
      </c>
      <c r="C502" s="18" t="s">
        <v>731</v>
      </c>
      <c r="D502" s="18" t="s">
        <v>168</v>
      </c>
      <c r="E502" s="19" t="s">
        <v>1044</v>
      </c>
      <c r="F502" s="18" t="s">
        <v>2624</v>
      </c>
      <c r="G502" s="18" t="n">
        <v>1</v>
      </c>
      <c r="H502" s="18" t="s">
        <v>2625</v>
      </c>
      <c r="I502" s="19"/>
      <c r="J502" s="18"/>
    </row>
    <row r="503" customFormat="false" ht="15" hidden="false" customHeight="false" outlineLevel="0" collapsed="false">
      <c r="A503" s="18" t="s">
        <v>1045</v>
      </c>
      <c r="B503" s="18" t="s">
        <v>51</v>
      </c>
      <c r="C503" s="18" t="s">
        <v>942</v>
      </c>
      <c r="D503" s="18" t="s">
        <v>168</v>
      </c>
      <c r="E503" s="19" t="s">
        <v>1046</v>
      </c>
      <c r="F503" s="18" t="s">
        <v>2624</v>
      </c>
      <c r="G503" s="18" t="n">
        <v>1</v>
      </c>
      <c r="H503" s="18" t="s">
        <v>2626</v>
      </c>
      <c r="I503" s="19"/>
      <c r="J503" s="18"/>
    </row>
    <row r="504" customFormat="false" ht="43.25" hidden="false" customHeight="false" outlineLevel="0" collapsed="false">
      <c r="A504" s="18" t="s">
        <v>1047</v>
      </c>
      <c r="B504" s="18" t="s">
        <v>51</v>
      </c>
      <c r="C504" s="18" t="s">
        <v>942</v>
      </c>
      <c r="D504" s="18" t="s">
        <v>168</v>
      </c>
      <c r="E504" s="19" t="s">
        <v>1048</v>
      </c>
      <c r="F504" s="18" t="s">
        <v>2624</v>
      </c>
      <c r="G504" s="18" t="n">
        <v>1</v>
      </c>
      <c r="H504" s="18" t="s">
        <v>2659</v>
      </c>
      <c r="I504" s="19"/>
      <c r="J504" s="18"/>
    </row>
    <row r="505" customFormat="false" ht="15" hidden="false" customHeight="false" outlineLevel="0" collapsed="false">
      <c r="A505" s="18" t="s">
        <v>1049</v>
      </c>
      <c r="B505" s="18" t="s">
        <v>51</v>
      </c>
      <c r="C505" s="18" t="s">
        <v>942</v>
      </c>
      <c r="D505" s="18" t="s">
        <v>168</v>
      </c>
      <c r="E505" s="19" t="s">
        <v>1050</v>
      </c>
      <c r="F505" s="18" t="s">
        <v>2624</v>
      </c>
      <c r="G505" s="18" t="n">
        <v>1</v>
      </c>
      <c r="H505" s="18" t="s">
        <v>2659</v>
      </c>
      <c r="I505" s="19"/>
      <c r="J505" s="18"/>
    </row>
    <row r="506" customFormat="false" ht="15" hidden="false" customHeight="false" outlineLevel="0" collapsed="false">
      <c r="A506" s="18" t="s">
        <v>1051</v>
      </c>
      <c r="B506" s="18" t="s">
        <v>51</v>
      </c>
      <c r="C506" s="18" t="s">
        <v>942</v>
      </c>
      <c r="D506" s="18" t="s">
        <v>168</v>
      </c>
      <c r="E506" s="19" t="s">
        <v>1052</v>
      </c>
      <c r="F506" s="18" t="s">
        <v>2624</v>
      </c>
      <c r="G506" s="18" t="n">
        <v>1</v>
      </c>
      <c r="H506" s="18" t="s">
        <v>2659</v>
      </c>
      <c r="I506" s="19"/>
      <c r="J506" s="18"/>
    </row>
    <row r="507" customFormat="false" ht="22.35" hidden="false" customHeight="false" outlineLevel="0" collapsed="false">
      <c r="A507" s="18" t="s">
        <v>1053</v>
      </c>
      <c r="B507" s="18" t="s">
        <v>51</v>
      </c>
      <c r="C507" s="18" t="s">
        <v>942</v>
      </c>
      <c r="D507" s="18" t="s">
        <v>168</v>
      </c>
      <c r="E507" s="19" t="s">
        <v>1054</v>
      </c>
      <c r="F507" s="18" t="s">
        <v>2624</v>
      </c>
      <c r="G507" s="18" t="n">
        <v>1</v>
      </c>
      <c r="H507" s="18" t="s">
        <v>2659</v>
      </c>
      <c r="I507" s="19"/>
      <c r="J507" s="18"/>
    </row>
    <row r="508" customFormat="false" ht="22.35" hidden="false" customHeight="false" outlineLevel="0" collapsed="false">
      <c r="A508" s="18" t="s">
        <v>1055</v>
      </c>
      <c r="B508" s="18" t="s">
        <v>51</v>
      </c>
      <c r="C508" s="18" t="s">
        <v>942</v>
      </c>
      <c r="D508" s="18" t="s">
        <v>168</v>
      </c>
      <c r="E508" s="19" t="s">
        <v>1056</v>
      </c>
      <c r="F508" s="18" t="s">
        <v>2624</v>
      </c>
      <c r="G508" s="18" t="n">
        <v>1</v>
      </c>
      <c r="H508" s="18" t="s">
        <v>2625</v>
      </c>
      <c r="I508" s="19"/>
      <c r="J508" s="18"/>
    </row>
    <row r="509" customFormat="false" ht="15" hidden="false" customHeight="false" outlineLevel="0" collapsed="false">
      <c r="A509" s="18" t="s">
        <v>1057</v>
      </c>
      <c r="B509" s="18" t="s">
        <v>51</v>
      </c>
      <c r="C509" s="18" t="s">
        <v>942</v>
      </c>
      <c r="D509" s="18" t="s">
        <v>168</v>
      </c>
      <c r="E509" s="19" t="s">
        <v>1058</v>
      </c>
      <c r="F509" s="18" t="s">
        <v>2624</v>
      </c>
      <c r="G509" s="18" t="n">
        <v>1</v>
      </c>
      <c r="H509" s="18" t="s">
        <v>2659</v>
      </c>
      <c r="I509" s="19"/>
      <c r="J509" s="18"/>
    </row>
    <row r="510" customFormat="false" ht="15" hidden="false" customHeight="false" outlineLevel="0" collapsed="false">
      <c r="A510" s="18" t="s">
        <v>1059</v>
      </c>
      <c r="B510" s="18" t="s">
        <v>51</v>
      </c>
      <c r="C510" s="18" t="s">
        <v>942</v>
      </c>
      <c r="D510" s="18" t="s">
        <v>158</v>
      </c>
      <c r="E510" s="19" t="s">
        <v>1060</v>
      </c>
      <c r="F510" s="18" t="s">
        <v>2624</v>
      </c>
      <c r="G510" s="18" t="n">
        <v>1</v>
      </c>
      <c r="H510" s="18" t="s">
        <v>2659</v>
      </c>
      <c r="I510" s="19"/>
      <c r="J510" s="18"/>
    </row>
    <row r="511" customFormat="false" ht="22.35" hidden="false" customHeight="false" outlineLevel="0" collapsed="false">
      <c r="A511" s="18" t="s">
        <v>1061</v>
      </c>
      <c r="B511" s="18" t="s">
        <v>51</v>
      </c>
      <c r="C511" s="18" t="s">
        <v>942</v>
      </c>
      <c r="D511" s="18" t="s">
        <v>164</v>
      </c>
      <c r="E511" s="19" t="s">
        <v>1062</v>
      </c>
      <c r="F511" s="18" t="s">
        <v>2624</v>
      </c>
      <c r="G511" s="18" t="n">
        <v>1</v>
      </c>
      <c r="H511" s="18" t="s">
        <v>2659</v>
      </c>
      <c r="I511" s="19"/>
      <c r="J511" s="18"/>
    </row>
    <row r="512" customFormat="false" ht="22.35" hidden="false" customHeight="false" outlineLevel="0" collapsed="false">
      <c r="A512" s="18" t="s">
        <v>1063</v>
      </c>
      <c r="B512" s="18" t="s">
        <v>51</v>
      </c>
      <c r="C512" s="18" t="s">
        <v>942</v>
      </c>
      <c r="D512" s="18" t="s">
        <v>164</v>
      </c>
      <c r="E512" s="19" t="s">
        <v>1064</v>
      </c>
      <c r="F512" s="18" t="s">
        <v>2624</v>
      </c>
      <c r="G512" s="18" t="n">
        <v>1</v>
      </c>
      <c r="H512" s="18" t="s">
        <v>2659</v>
      </c>
      <c r="I512" s="19"/>
      <c r="J512" s="18"/>
    </row>
    <row r="513" customFormat="false" ht="22.35" hidden="false" customHeight="false" outlineLevel="0" collapsed="false">
      <c r="A513" s="18" t="s">
        <v>1065</v>
      </c>
      <c r="B513" s="18" t="s">
        <v>51</v>
      </c>
      <c r="C513" s="18" t="s">
        <v>942</v>
      </c>
      <c r="D513" s="18" t="s">
        <v>164</v>
      </c>
      <c r="E513" s="19" t="s">
        <v>1066</v>
      </c>
      <c r="F513" s="18" t="s">
        <v>2624</v>
      </c>
      <c r="G513" s="18" t="n">
        <v>1</v>
      </c>
      <c r="H513" s="18" t="s">
        <v>2659</v>
      </c>
      <c r="I513" s="19"/>
      <c r="J513" s="18"/>
    </row>
    <row r="514" customFormat="false" ht="15" hidden="false" customHeight="false" outlineLevel="0" collapsed="false">
      <c r="A514" s="18" t="s">
        <v>1067</v>
      </c>
      <c r="B514" s="18" t="s">
        <v>51</v>
      </c>
      <c r="C514" s="18" t="s">
        <v>942</v>
      </c>
      <c r="D514" s="18" t="s">
        <v>164</v>
      </c>
      <c r="E514" s="19" t="s">
        <v>1068</v>
      </c>
      <c r="F514" s="18" t="s">
        <v>2624</v>
      </c>
      <c r="G514" s="18" t="n">
        <v>1</v>
      </c>
      <c r="H514" s="18" t="s">
        <v>2629</v>
      </c>
      <c r="I514" s="19"/>
      <c r="J514" s="18"/>
    </row>
    <row r="515" customFormat="false" ht="15" hidden="false" customHeight="false" outlineLevel="0" collapsed="false">
      <c r="A515" s="18" t="s">
        <v>1069</v>
      </c>
      <c r="B515" s="18" t="s">
        <v>51</v>
      </c>
      <c r="C515" s="18" t="s">
        <v>942</v>
      </c>
      <c r="D515" s="18" t="s">
        <v>164</v>
      </c>
      <c r="E515" s="19" t="s">
        <v>1070</v>
      </c>
      <c r="F515" s="18" t="s">
        <v>2624</v>
      </c>
      <c r="G515" s="18" t="n">
        <v>1</v>
      </c>
      <c r="H515" s="18" t="s">
        <v>2659</v>
      </c>
      <c r="I515" s="19"/>
      <c r="J515" s="18"/>
    </row>
    <row r="516" customFormat="false" ht="15" hidden="false" customHeight="false" outlineLevel="0" collapsed="false">
      <c r="A516" s="18" t="s">
        <v>1071</v>
      </c>
      <c r="B516" s="18" t="s">
        <v>51</v>
      </c>
      <c r="C516" s="18" t="s">
        <v>942</v>
      </c>
      <c r="D516" s="18" t="s">
        <v>164</v>
      </c>
      <c r="E516" s="19" t="s">
        <v>1072</v>
      </c>
      <c r="F516" s="18" t="s">
        <v>2624</v>
      </c>
      <c r="G516" s="18" t="n">
        <v>1</v>
      </c>
      <c r="H516" s="18" t="s">
        <v>2659</v>
      </c>
      <c r="I516" s="19"/>
      <c r="J516" s="18"/>
    </row>
    <row r="517" customFormat="false" ht="15" hidden="false" customHeight="false" outlineLevel="0" collapsed="false">
      <c r="A517" s="18" t="s">
        <v>1073</v>
      </c>
      <c r="B517" s="18" t="s">
        <v>51</v>
      </c>
      <c r="C517" s="18" t="s">
        <v>942</v>
      </c>
      <c r="D517" s="18" t="s">
        <v>164</v>
      </c>
      <c r="E517" s="19" t="s">
        <v>1074</v>
      </c>
      <c r="F517" s="18" t="s">
        <v>2624</v>
      </c>
      <c r="G517" s="18" t="n">
        <v>1</v>
      </c>
      <c r="H517" s="18" t="s">
        <v>2659</v>
      </c>
      <c r="I517" s="19"/>
      <c r="J517" s="18"/>
    </row>
    <row r="518" customFormat="false" ht="22.35" hidden="false" customHeight="false" outlineLevel="0" collapsed="false">
      <c r="A518" s="18" t="s">
        <v>1075</v>
      </c>
      <c r="B518" s="18" t="s">
        <v>51</v>
      </c>
      <c r="C518" s="18" t="s">
        <v>942</v>
      </c>
      <c r="D518" s="18" t="s">
        <v>164</v>
      </c>
      <c r="E518" s="19" t="s">
        <v>1076</v>
      </c>
      <c r="F518" s="18" t="s">
        <v>2624</v>
      </c>
      <c r="G518" s="18" t="n">
        <v>1</v>
      </c>
      <c r="H518" s="18" t="s">
        <v>2659</v>
      </c>
      <c r="I518" s="19"/>
      <c r="J518" s="18"/>
    </row>
    <row r="519" customFormat="false" ht="15" hidden="false" customHeight="false" outlineLevel="0" collapsed="false">
      <c r="A519" s="18" t="s">
        <v>1077</v>
      </c>
      <c r="B519" s="18" t="s">
        <v>51</v>
      </c>
      <c r="C519" s="18" t="s">
        <v>942</v>
      </c>
      <c r="D519" s="18" t="s">
        <v>158</v>
      </c>
      <c r="E519" s="19" t="s">
        <v>1078</v>
      </c>
      <c r="F519" s="18" t="s">
        <v>2624</v>
      </c>
      <c r="G519" s="18" t="n">
        <v>1</v>
      </c>
      <c r="H519" s="18" t="s">
        <v>2659</v>
      </c>
      <c r="I519" s="19"/>
      <c r="J519" s="18"/>
    </row>
    <row r="520" customFormat="false" ht="15" hidden="false" customHeight="false" outlineLevel="0" collapsed="false">
      <c r="A520" s="18" t="s">
        <v>1079</v>
      </c>
      <c r="B520" s="18" t="s">
        <v>51</v>
      </c>
      <c r="C520" s="18" t="s">
        <v>942</v>
      </c>
      <c r="D520" s="18" t="s">
        <v>164</v>
      </c>
      <c r="E520" s="19" t="s">
        <v>1080</v>
      </c>
      <c r="F520" s="18" t="s">
        <v>2624</v>
      </c>
      <c r="G520" s="18" t="n">
        <v>1</v>
      </c>
      <c r="H520" s="18" t="s">
        <v>2659</v>
      </c>
      <c r="I520" s="19"/>
      <c r="J520" s="18"/>
    </row>
    <row r="521" customFormat="false" ht="15" hidden="false" customHeight="false" outlineLevel="0" collapsed="false">
      <c r="A521" s="18" t="s">
        <v>1081</v>
      </c>
      <c r="B521" s="18" t="s">
        <v>51</v>
      </c>
      <c r="C521" s="18" t="s">
        <v>942</v>
      </c>
      <c r="D521" s="18" t="s">
        <v>164</v>
      </c>
      <c r="E521" s="19" t="s">
        <v>1082</v>
      </c>
      <c r="F521" s="18" t="s">
        <v>2624</v>
      </c>
      <c r="G521" s="18" t="n">
        <v>1</v>
      </c>
      <c r="H521" s="18" t="s">
        <v>2659</v>
      </c>
      <c r="I521" s="19"/>
      <c r="J521" s="18"/>
    </row>
    <row r="522" customFormat="false" ht="15" hidden="false" customHeight="false" outlineLevel="0" collapsed="false">
      <c r="A522" s="18" t="s">
        <v>1083</v>
      </c>
      <c r="B522" s="18" t="s">
        <v>51</v>
      </c>
      <c r="C522" s="18" t="s">
        <v>942</v>
      </c>
      <c r="D522" s="18" t="s">
        <v>164</v>
      </c>
      <c r="E522" s="19" t="s">
        <v>1084</v>
      </c>
      <c r="F522" s="18" t="s">
        <v>2624</v>
      </c>
      <c r="G522" s="18" t="n">
        <v>1</v>
      </c>
      <c r="H522" s="18" t="s">
        <v>2659</v>
      </c>
      <c r="I522" s="19"/>
      <c r="J522" s="18"/>
    </row>
    <row r="523" customFormat="false" ht="43.25" hidden="false" customHeight="false" outlineLevel="0" collapsed="false">
      <c r="A523" s="18" t="s">
        <v>1085</v>
      </c>
      <c r="B523" s="18" t="s">
        <v>51</v>
      </c>
      <c r="C523" s="18" t="s">
        <v>942</v>
      </c>
      <c r="D523" s="18" t="s">
        <v>164</v>
      </c>
      <c r="E523" s="19" t="s">
        <v>1086</v>
      </c>
      <c r="F523" s="18" t="s">
        <v>2624</v>
      </c>
      <c r="G523" s="18" t="n">
        <v>1</v>
      </c>
      <c r="H523" s="18" t="s">
        <v>2659</v>
      </c>
      <c r="I523" s="19"/>
      <c r="J523" s="18"/>
    </row>
    <row r="524" customFormat="false" ht="15" hidden="false" customHeight="false" outlineLevel="0" collapsed="false">
      <c r="A524" s="18" t="s">
        <v>1087</v>
      </c>
      <c r="B524" s="18" t="s">
        <v>51</v>
      </c>
      <c r="C524" s="18" t="s">
        <v>942</v>
      </c>
      <c r="D524" s="18" t="s">
        <v>164</v>
      </c>
      <c r="E524" s="19" t="s">
        <v>385</v>
      </c>
      <c r="F524" s="18" t="s">
        <v>2624</v>
      </c>
      <c r="G524" s="18" t="n">
        <v>1</v>
      </c>
      <c r="H524" s="18" t="s">
        <v>2641</v>
      </c>
      <c r="I524" s="19"/>
      <c r="J524" s="18"/>
    </row>
    <row r="525" customFormat="false" ht="43.25" hidden="false" customHeight="false" outlineLevel="0" collapsed="false">
      <c r="A525" s="18" t="s">
        <v>1088</v>
      </c>
      <c r="B525" s="18" t="s">
        <v>51</v>
      </c>
      <c r="C525" s="18" t="s">
        <v>942</v>
      </c>
      <c r="D525" s="18" t="s">
        <v>175</v>
      </c>
      <c r="E525" s="19" t="s">
        <v>1089</v>
      </c>
      <c r="F525" s="18" t="s">
        <v>2624</v>
      </c>
      <c r="G525" s="18" t="n">
        <v>0.88</v>
      </c>
      <c r="H525" s="18" t="s">
        <v>2625</v>
      </c>
      <c r="I525" s="19"/>
      <c r="J525" s="18"/>
    </row>
    <row r="526" customFormat="false" ht="15" hidden="false" customHeight="false" outlineLevel="0" collapsed="false">
      <c r="A526" s="18" t="s">
        <v>1090</v>
      </c>
      <c r="B526" s="18" t="s">
        <v>51</v>
      </c>
      <c r="C526" s="18" t="s">
        <v>942</v>
      </c>
      <c r="D526" s="18" t="s">
        <v>164</v>
      </c>
      <c r="E526" s="19" t="s">
        <v>1091</v>
      </c>
      <c r="F526" s="18" t="s">
        <v>2624</v>
      </c>
      <c r="G526" s="18" t="n">
        <v>1</v>
      </c>
      <c r="H526" s="18" t="s">
        <v>2625</v>
      </c>
      <c r="I526" s="19"/>
      <c r="J526" s="18"/>
    </row>
    <row r="527" customFormat="false" ht="15" hidden="false" customHeight="false" outlineLevel="0" collapsed="false">
      <c r="A527" s="18" t="s">
        <v>1092</v>
      </c>
      <c r="B527" s="18" t="s">
        <v>51</v>
      </c>
      <c r="C527" s="18" t="s">
        <v>731</v>
      </c>
      <c r="D527" s="18" t="s">
        <v>158</v>
      </c>
      <c r="E527" s="19" t="s">
        <v>1093</v>
      </c>
      <c r="F527" s="18" t="s">
        <v>2624</v>
      </c>
      <c r="G527" s="18" t="n">
        <v>1</v>
      </c>
      <c r="H527" s="18" t="s">
        <v>2656</v>
      </c>
      <c r="I527" s="19"/>
      <c r="J527" s="18"/>
    </row>
    <row r="528" customFormat="false" ht="15" hidden="false" customHeight="false" outlineLevel="0" collapsed="false">
      <c r="A528" s="18" t="s">
        <v>1094</v>
      </c>
      <c r="B528" s="18" t="s">
        <v>51</v>
      </c>
      <c r="C528" s="18" t="s">
        <v>942</v>
      </c>
      <c r="D528" s="18" t="s">
        <v>158</v>
      </c>
      <c r="E528" s="19" t="s">
        <v>1095</v>
      </c>
      <c r="F528" s="18" t="s">
        <v>2624</v>
      </c>
      <c r="G528" s="18" t="n">
        <v>1</v>
      </c>
      <c r="H528" s="18" t="s">
        <v>2659</v>
      </c>
      <c r="I528" s="19"/>
      <c r="J528" s="18"/>
    </row>
    <row r="529" customFormat="false" ht="53.7" hidden="false" customHeight="false" outlineLevel="0" collapsed="false">
      <c r="A529" s="18" t="s">
        <v>1096</v>
      </c>
      <c r="B529" s="18" t="s">
        <v>51</v>
      </c>
      <c r="C529" s="18" t="s">
        <v>731</v>
      </c>
      <c r="D529" s="18" t="s">
        <v>164</v>
      </c>
      <c r="E529" s="19" t="s">
        <v>1097</v>
      </c>
      <c r="F529" s="18" t="s">
        <v>2624</v>
      </c>
      <c r="G529" s="18" t="n">
        <v>1</v>
      </c>
      <c r="H529" s="18" t="s">
        <v>2656</v>
      </c>
      <c r="I529" s="19"/>
      <c r="J529" s="18"/>
    </row>
    <row r="530" customFormat="false" ht="15" hidden="false" customHeight="false" outlineLevel="0" collapsed="false">
      <c r="A530" s="18" t="s">
        <v>1098</v>
      </c>
      <c r="B530" s="18" t="s">
        <v>51</v>
      </c>
      <c r="C530" s="18" t="s">
        <v>942</v>
      </c>
      <c r="D530" s="18" t="s">
        <v>164</v>
      </c>
      <c r="E530" s="19" t="s">
        <v>351</v>
      </c>
      <c r="F530" s="18" t="s">
        <v>2624</v>
      </c>
      <c r="G530" s="18" t="n">
        <v>1</v>
      </c>
      <c r="H530" s="18" t="s">
        <v>2625</v>
      </c>
      <c r="I530" s="19"/>
      <c r="J530" s="18"/>
    </row>
    <row r="531" customFormat="false" ht="53.7" hidden="false" customHeight="false" outlineLevel="0" collapsed="false">
      <c r="A531" s="18" t="s">
        <v>1099</v>
      </c>
      <c r="B531" s="18" t="s">
        <v>51</v>
      </c>
      <c r="C531" s="18" t="s">
        <v>731</v>
      </c>
      <c r="D531" s="18" t="s">
        <v>168</v>
      </c>
      <c r="E531" s="19" t="s">
        <v>1100</v>
      </c>
      <c r="F531" s="18" t="s">
        <v>2624</v>
      </c>
      <c r="G531" s="18" t="n">
        <v>0.87</v>
      </c>
      <c r="H531" s="18" t="s">
        <v>2656</v>
      </c>
      <c r="I531" s="19"/>
      <c r="J531" s="18"/>
    </row>
    <row r="532" customFormat="false" ht="95.5" hidden="false" customHeight="false" outlineLevel="0" collapsed="false">
      <c r="A532" s="18" t="s">
        <v>1101</v>
      </c>
      <c r="B532" s="18" t="s">
        <v>51</v>
      </c>
      <c r="C532" s="18" t="s">
        <v>731</v>
      </c>
      <c r="D532" s="18" t="s">
        <v>168</v>
      </c>
      <c r="E532" s="19" t="s">
        <v>1102</v>
      </c>
      <c r="F532" s="18" t="s">
        <v>2624</v>
      </c>
      <c r="G532" s="18" t="n">
        <v>1</v>
      </c>
      <c r="H532" s="18" t="s">
        <v>2625</v>
      </c>
      <c r="I532" s="19"/>
      <c r="J532" s="18"/>
    </row>
    <row r="533" customFormat="false" ht="22.35" hidden="false" customHeight="false" outlineLevel="0" collapsed="false">
      <c r="A533" s="18" t="s">
        <v>1103</v>
      </c>
      <c r="B533" s="18" t="s">
        <v>51</v>
      </c>
      <c r="C533" s="18" t="s">
        <v>731</v>
      </c>
      <c r="D533" s="18" t="s">
        <v>164</v>
      </c>
      <c r="E533" s="19" t="s">
        <v>1104</v>
      </c>
      <c r="F533" s="18" t="s">
        <v>2624</v>
      </c>
      <c r="G533" s="18" t="n">
        <v>1</v>
      </c>
      <c r="H533" s="18" t="s">
        <v>2656</v>
      </c>
      <c r="I533" s="19"/>
      <c r="J533" s="18"/>
    </row>
    <row r="534" customFormat="false" ht="22.35" hidden="false" customHeight="false" outlineLevel="0" collapsed="false">
      <c r="A534" s="18" t="s">
        <v>1105</v>
      </c>
      <c r="B534" s="18" t="s">
        <v>51</v>
      </c>
      <c r="C534" s="18" t="s">
        <v>942</v>
      </c>
      <c r="D534" s="18" t="s">
        <v>164</v>
      </c>
      <c r="E534" s="19" t="s">
        <v>1106</v>
      </c>
      <c r="F534" s="18" t="s">
        <v>2624</v>
      </c>
      <c r="G534" s="18" t="n">
        <v>1</v>
      </c>
      <c r="H534" s="18" t="s">
        <v>2659</v>
      </c>
      <c r="I534" s="19"/>
      <c r="J534" s="18"/>
    </row>
    <row r="535" customFormat="false" ht="22.35" hidden="false" customHeight="false" outlineLevel="0" collapsed="false">
      <c r="A535" s="18" t="s">
        <v>1107</v>
      </c>
      <c r="B535" s="18" t="s">
        <v>51</v>
      </c>
      <c r="C535" s="18" t="s">
        <v>942</v>
      </c>
      <c r="D535" s="18" t="s">
        <v>164</v>
      </c>
      <c r="E535" s="19" t="s">
        <v>1108</v>
      </c>
      <c r="F535" s="18" t="s">
        <v>2624</v>
      </c>
      <c r="G535" s="18" t="n">
        <v>1</v>
      </c>
      <c r="H535" s="18" t="s">
        <v>2659</v>
      </c>
      <c r="I535" s="19"/>
      <c r="J535" s="18"/>
    </row>
    <row r="536" customFormat="false" ht="32.8" hidden="false" customHeight="false" outlineLevel="0" collapsed="false">
      <c r="A536" s="18" t="s">
        <v>1109</v>
      </c>
      <c r="B536" s="18" t="s">
        <v>51</v>
      </c>
      <c r="C536" s="18" t="s">
        <v>942</v>
      </c>
      <c r="D536" s="18" t="s">
        <v>164</v>
      </c>
      <c r="E536" s="19" t="s">
        <v>1110</v>
      </c>
      <c r="F536" s="18" t="s">
        <v>2624</v>
      </c>
      <c r="G536" s="18" t="n">
        <v>1</v>
      </c>
      <c r="H536" s="18" t="s">
        <v>2659</v>
      </c>
      <c r="I536" s="19"/>
      <c r="J536" s="18"/>
    </row>
    <row r="537" customFormat="false" ht="32.8" hidden="false" customHeight="false" outlineLevel="0" collapsed="false">
      <c r="A537" s="18" t="s">
        <v>1111</v>
      </c>
      <c r="B537" s="18" t="s">
        <v>51</v>
      </c>
      <c r="C537" s="18" t="s">
        <v>942</v>
      </c>
      <c r="D537" s="18" t="s">
        <v>164</v>
      </c>
      <c r="E537" s="19" t="s">
        <v>1112</v>
      </c>
      <c r="F537" s="18" t="s">
        <v>2624</v>
      </c>
      <c r="G537" s="18" t="n">
        <v>1</v>
      </c>
      <c r="H537" s="18" t="s">
        <v>2625</v>
      </c>
      <c r="I537" s="19"/>
      <c r="J537" s="18"/>
    </row>
    <row r="538" customFormat="false" ht="15" hidden="false" customHeight="false" outlineLevel="0" collapsed="false">
      <c r="A538" s="18" t="s">
        <v>1113</v>
      </c>
      <c r="B538" s="18" t="s">
        <v>51</v>
      </c>
      <c r="C538" s="18" t="s">
        <v>942</v>
      </c>
      <c r="D538" s="18" t="s">
        <v>164</v>
      </c>
      <c r="E538" s="19" t="s">
        <v>1114</v>
      </c>
      <c r="F538" s="18" t="s">
        <v>2624</v>
      </c>
      <c r="G538" s="18" t="n">
        <v>1</v>
      </c>
      <c r="H538" s="18" t="s">
        <v>2659</v>
      </c>
      <c r="I538" s="19"/>
      <c r="J538" s="18"/>
    </row>
    <row r="539" customFormat="false" ht="15" hidden="false" customHeight="false" outlineLevel="0" collapsed="false">
      <c r="A539" s="18" t="s">
        <v>1115</v>
      </c>
      <c r="B539" s="18" t="s">
        <v>51</v>
      </c>
      <c r="C539" s="18" t="s">
        <v>942</v>
      </c>
      <c r="D539" s="18" t="s">
        <v>164</v>
      </c>
      <c r="E539" s="19" t="s">
        <v>1116</v>
      </c>
      <c r="F539" s="18" t="s">
        <v>2624</v>
      </c>
      <c r="G539" s="18" t="n">
        <v>1</v>
      </c>
      <c r="H539" s="18" t="s">
        <v>2659</v>
      </c>
      <c r="I539" s="19"/>
      <c r="J539" s="18"/>
    </row>
    <row r="540" customFormat="false" ht="15" hidden="false" customHeight="false" outlineLevel="0" collapsed="false">
      <c r="A540" s="18" t="s">
        <v>1117</v>
      </c>
      <c r="B540" s="18" t="s">
        <v>51</v>
      </c>
      <c r="C540" s="18" t="s">
        <v>942</v>
      </c>
      <c r="D540" s="18" t="s">
        <v>164</v>
      </c>
      <c r="E540" s="19" t="s">
        <v>1118</v>
      </c>
      <c r="F540" s="18" t="s">
        <v>2624</v>
      </c>
      <c r="G540" s="18" t="n">
        <v>1</v>
      </c>
      <c r="H540" s="18" t="s">
        <v>2659</v>
      </c>
      <c r="I540" s="19"/>
      <c r="J540" s="18"/>
    </row>
    <row r="541" customFormat="false" ht="15" hidden="false" customHeight="false" outlineLevel="0" collapsed="false">
      <c r="A541" s="18" t="s">
        <v>1119</v>
      </c>
      <c r="B541" s="18" t="s">
        <v>51</v>
      </c>
      <c r="C541" s="18" t="s">
        <v>942</v>
      </c>
      <c r="D541" s="18" t="s">
        <v>164</v>
      </c>
      <c r="E541" s="19" t="s">
        <v>1120</v>
      </c>
      <c r="F541" s="18" t="s">
        <v>2624</v>
      </c>
      <c r="G541" s="18" t="n">
        <v>1</v>
      </c>
      <c r="H541" s="18" t="s">
        <v>2659</v>
      </c>
      <c r="I541" s="19"/>
      <c r="J541" s="18"/>
    </row>
    <row r="542" customFormat="false" ht="15" hidden="false" customHeight="false" outlineLevel="0" collapsed="false">
      <c r="A542" s="18" t="s">
        <v>1121</v>
      </c>
      <c r="B542" s="18" t="s">
        <v>51</v>
      </c>
      <c r="C542" s="18" t="s">
        <v>942</v>
      </c>
      <c r="D542" s="18" t="s">
        <v>164</v>
      </c>
      <c r="E542" s="19" t="s">
        <v>1122</v>
      </c>
      <c r="F542" s="18" t="s">
        <v>2624</v>
      </c>
      <c r="G542" s="18" t="n">
        <v>1</v>
      </c>
      <c r="H542" s="18" t="s">
        <v>2625</v>
      </c>
      <c r="I542" s="19"/>
      <c r="J542" s="18"/>
    </row>
    <row r="543" customFormat="false" ht="64.15" hidden="false" customHeight="false" outlineLevel="0" collapsed="false">
      <c r="A543" s="18" t="s">
        <v>1123</v>
      </c>
      <c r="B543" s="18" t="s">
        <v>51</v>
      </c>
      <c r="C543" s="18" t="s">
        <v>942</v>
      </c>
      <c r="D543" s="18" t="s">
        <v>175</v>
      </c>
      <c r="E543" s="19" t="s">
        <v>1124</v>
      </c>
      <c r="F543" s="18" t="s">
        <v>2624</v>
      </c>
      <c r="G543" s="18" t="n">
        <v>1</v>
      </c>
      <c r="H543" s="18" t="s">
        <v>2625</v>
      </c>
      <c r="I543" s="19"/>
      <c r="J543" s="18"/>
    </row>
    <row r="544" customFormat="false" ht="15" hidden="false" customHeight="false" outlineLevel="0" collapsed="false">
      <c r="A544" s="18" t="s">
        <v>1125</v>
      </c>
      <c r="B544" s="18" t="s">
        <v>51</v>
      </c>
      <c r="C544" s="18" t="s">
        <v>942</v>
      </c>
      <c r="D544" s="18" t="s">
        <v>164</v>
      </c>
      <c r="E544" s="19" t="s">
        <v>1126</v>
      </c>
      <c r="F544" s="18" t="s">
        <v>2624</v>
      </c>
      <c r="G544" s="18" t="n">
        <v>1</v>
      </c>
      <c r="H544" s="18" t="s">
        <v>2659</v>
      </c>
      <c r="I544" s="19"/>
      <c r="J544" s="18"/>
    </row>
    <row r="545" customFormat="false" ht="32.8" hidden="false" customHeight="false" outlineLevel="0" collapsed="false">
      <c r="A545" s="18" t="s">
        <v>1127</v>
      </c>
      <c r="B545" s="18" t="s">
        <v>51</v>
      </c>
      <c r="C545" s="18" t="s">
        <v>942</v>
      </c>
      <c r="D545" s="18" t="s">
        <v>164</v>
      </c>
      <c r="E545" s="19" t="s">
        <v>1128</v>
      </c>
      <c r="F545" s="18" t="s">
        <v>2624</v>
      </c>
      <c r="G545" s="18" t="n">
        <v>1</v>
      </c>
      <c r="H545" s="18" t="s">
        <v>2659</v>
      </c>
      <c r="I545" s="19"/>
      <c r="J545" s="18"/>
    </row>
    <row r="546" customFormat="false" ht="22.35" hidden="false" customHeight="false" outlineLevel="0" collapsed="false">
      <c r="A546" s="18" t="s">
        <v>1129</v>
      </c>
      <c r="B546" s="18" t="s">
        <v>51</v>
      </c>
      <c r="C546" s="18" t="s">
        <v>942</v>
      </c>
      <c r="D546" s="18" t="s">
        <v>164</v>
      </c>
      <c r="E546" s="19" t="s">
        <v>1130</v>
      </c>
      <c r="F546" s="18" t="s">
        <v>2624</v>
      </c>
      <c r="G546" s="18" t="n">
        <v>1</v>
      </c>
      <c r="H546" s="18" t="s">
        <v>2659</v>
      </c>
      <c r="I546" s="19"/>
      <c r="J546" s="18"/>
    </row>
    <row r="547" customFormat="false" ht="15" hidden="false" customHeight="false" outlineLevel="0" collapsed="false">
      <c r="A547" s="18" t="s">
        <v>1131</v>
      </c>
      <c r="B547" s="18" t="s">
        <v>51</v>
      </c>
      <c r="C547" s="18" t="s">
        <v>942</v>
      </c>
      <c r="D547" s="18" t="s">
        <v>164</v>
      </c>
      <c r="E547" s="19" t="s">
        <v>1132</v>
      </c>
      <c r="F547" s="18" t="s">
        <v>2624</v>
      </c>
      <c r="G547" s="18" t="n">
        <v>1</v>
      </c>
      <c r="H547" s="18" t="s">
        <v>2659</v>
      </c>
      <c r="I547" s="19"/>
      <c r="J547" s="18"/>
    </row>
    <row r="548" customFormat="false" ht="15" hidden="false" customHeight="false" outlineLevel="0" collapsed="false">
      <c r="A548" s="18" t="s">
        <v>1133</v>
      </c>
      <c r="B548" s="18" t="s">
        <v>51</v>
      </c>
      <c r="C548" s="18" t="s">
        <v>942</v>
      </c>
      <c r="D548" s="18" t="s">
        <v>164</v>
      </c>
      <c r="E548" s="19" t="s">
        <v>1134</v>
      </c>
      <c r="F548" s="18" t="s">
        <v>2624</v>
      </c>
      <c r="G548" s="18" t="n">
        <v>1</v>
      </c>
      <c r="H548" s="18" t="s">
        <v>2659</v>
      </c>
      <c r="I548" s="19"/>
      <c r="J548" s="18"/>
    </row>
    <row r="549" customFormat="false" ht="15" hidden="false" customHeight="false" outlineLevel="0" collapsed="false">
      <c r="A549" s="18" t="s">
        <v>1135</v>
      </c>
      <c r="B549" s="18" t="s">
        <v>51</v>
      </c>
      <c r="C549" s="18" t="s">
        <v>942</v>
      </c>
      <c r="D549" s="18" t="s">
        <v>164</v>
      </c>
      <c r="E549" s="19" t="s">
        <v>1136</v>
      </c>
      <c r="F549" s="18" t="s">
        <v>2624</v>
      </c>
      <c r="G549" s="18" t="n">
        <v>1</v>
      </c>
      <c r="H549" s="18" t="s">
        <v>2659</v>
      </c>
      <c r="I549" s="19"/>
      <c r="J549" s="18"/>
    </row>
    <row r="550" customFormat="false" ht="15" hidden="false" customHeight="false" outlineLevel="0" collapsed="false">
      <c r="A550" s="18" t="s">
        <v>1137</v>
      </c>
      <c r="B550" s="18" t="s">
        <v>51</v>
      </c>
      <c r="C550" s="18" t="s">
        <v>942</v>
      </c>
      <c r="D550" s="18" t="s">
        <v>164</v>
      </c>
      <c r="E550" s="19" t="s">
        <v>1138</v>
      </c>
      <c r="F550" s="18" t="s">
        <v>2624</v>
      </c>
      <c r="G550" s="18" t="n">
        <v>1</v>
      </c>
      <c r="H550" s="18" t="s">
        <v>2625</v>
      </c>
      <c r="I550" s="19"/>
      <c r="J550" s="18"/>
    </row>
    <row r="551" customFormat="false" ht="95.5" hidden="false" customHeight="false" outlineLevel="0" collapsed="false">
      <c r="A551" s="18" t="s">
        <v>1139</v>
      </c>
      <c r="B551" s="18" t="s">
        <v>51</v>
      </c>
      <c r="C551" s="18" t="s">
        <v>942</v>
      </c>
      <c r="D551" s="18" t="s">
        <v>354</v>
      </c>
      <c r="E551" s="19" t="s">
        <v>1140</v>
      </c>
      <c r="F551" s="18" t="s">
        <v>2624</v>
      </c>
      <c r="G551" s="18" t="n">
        <v>1</v>
      </c>
      <c r="H551" s="18" t="s">
        <v>2625</v>
      </c>
      <c r="I551" s="19"/>
      <c r="J551" s="18"/>
    </row>
    <row r="552" customFormat="false" ht="15" hidden="false" customHeight="false" outlineLevel="0" collapsed="false">
      <c r="A552" s="18" t="s">
        <v>1141</v>
      </c>
      <c r="B552" s="18" t="s">
        <v>51</v>
      </c>
      <c r="C552" s="18" t="s">
        <v>942</v>
      </c>
      <c r="D552" s="18" t="s">
        <v>158</v>
      </c>
      <c r="E552" s="19" t="s">
        <v>1142</v>
      </c>
      <c r="F552" s="18" t="s">
        <v>2624</v>
      </c>
      <c r="G552" s="18" t="n">
        <v>1</v>
      </c>
      <c r="H552" s="18" t="s">
        <v>2660</v>
      </c>
      <c r="I552" s="19"/>
      <c r="J552" s="18"/>
    </row>
    <row r="553" customFormat="false" ht="15" hidden="false" customHeight="false" outlineLevel="0" collapsed="false">
      <c r="A553" s="18" t="s">
        <v>1143</v>
      </c>
      <c r="B553" s="18" t="s">
        <v>51</v>
      </c>
      <c r="C553" s="18" t="s">
        <v>942</v>
      </c>
      <c r="D553" s="18" t="s">
        <v>164</v>
      </c>
      <c r="E553" s="19" t="s">
        <v>1144</v>
      </c>
      <c r="F553" s="18" t="s">
        <v>2624</v>
      </c>
      <c r="G553" s="18" t="n">
        <v>1</v>
      </c>
      <c r="H553" s="18" t="s">
        <v>2660</v>
      </c>
      <c r="I553" s="19"/>
      <c r="J553" s="18"/>
    </row>
    <row r="554" customFormat="false" ht="15" hidden="false" customHeight="false" outlineLevel="0" collapsed="false">
      <c r="A554" s="18" t="s">
        <v>1145</v>
      </c>
      <c r="B554" s="18" t="s">
        <v>51</v>
      </c>
      <c r="C554" s="18" t="s">
        <v>942</v>
      </c>
      <c r="D554" s="18" t="s">
        <v>164</v>
      </c>
      <c r="E554" s="19" t="s">
        <v>1146</v>
      </c>
      <c r="F554" s="18" t="s">
        <v>2624</v>
      </c>
      <c r="G554" s="18" t="n">
        <v>1</v>
      </c>
      <c r="H554" s="18" t="s">
        <v>2660</v>
      </c>
      <c r="I554" s="19"/>
      <c r="J554" s="18"/>
    </row>
    <row r="555" customFormat="false" ht="22.35" hidden="false" customHeight="false" outlineLevel="0" collapsed="false">
      <c r="A555" s="18" t="s">
        <v>1147</v>
      </c>
      <c r="B555" s="18" t="s">
        <v>51</v>
      </c>
      <c r="C555" s="18" t="s">
        <v>942</v>
      </c>
      <c r="D555" s="18" t="s">
        <v>164</v>
      </c>
      <c r="E555" s="19" t="s">
        <v>1148</v>
      </c>
      <c r="F555" s="18" t="s">
        <v>2624</v>
      </c>
      <c r="G555" s="18" t="n">
        <v>1</v>
      </c>
      <c r="H555" s="18" t="s">
        <v>2660</v>
      </c>
      <c r="I555" s="19"/>
      <c r="J555" s="18"/>
    </row>
    <row r="556" customFormat="false" ht="15" hidden="false" customHeight="false" outlineLevel="0" collapsed="false">
      <c r="A556" s="18" t="s">
        <v>1149</v>
      </c>
      <c r="B556" s="18" t="s">
        <v>51</v>
      </c>
      <c r="C556" s="18" t="s">
        <v>942</v>
      </c>
      <c r="D556" s="18" t="s">
        <v>164</v>
      </c>
      <c r="E556" s="19" t="s">
        <v>1150</v>
      </c>
      <c r="F556" s="18" t="s">
        <v>2624</v>
      </c>
      <c r="G556" s="18" t="n">
        <v>1</v>
      </c>
      <c r="H556" s="18" t="s">
        <v>2660</v>
      </c>
      <c r="I556" s="19"/>
      <c r="J556" s="18"/>
    </row>
    <row r="557" customFormat="false" ht="15" hidden="false" customHeight="false" outlineLevel="0" collapsed="false">
      <c r="A557" s="18" t="s">
        <v>1151</v>
      </c>
      <c r="B557" s="18" t="s">
        <v>51</v>
      </c>
      <c r="C557" s="18" t="s">
        <v>942</v>
      </c>
      <c r="D557" s="18" t="s">
        <v>164</v>
      </c>
      <c r="E557" s="19" t="s">
        <v>1152</v>
      </c>
      <c r="F557" s="18" t="s">
        <v>2624</v>
      </c>
      <c r="G557" s="18" t="n">
        <v>1</v>
      </c>
      <c r="H557" s="18" t="s">
        <v>2660</v>
      </c>
      <c r="I557" s="19"/>
      <c r="J557" s="18"/>
    </row>
    <row r="558" customFormat="false" ht="22.35" hidden="false" customHeight="false" outlineLevel="0" collapsed="false">
      <c r="A558" s="18" t="s">
        <v>1153</v>
      </c>
      <c r="B558" s="18" t="s">
        <v>51</v>
      </c>
      <c r="C558" s="18" t="s">
        <v>942</v>
      </c>
      <c r="D558" s="18" t="s">
        <v>164</v>
      </c>
      <c r="E558" s="19" t="s">
        <v>1154</v>
      </c>
      <c r="F558" s="18" t="s">
        <v>2624</v>
      </c>
      <c r="G558" s="18" t="n">
        <v>1</v>
      </c>
      <c r="H558" s="18" t="s">
        <v>2660</v>
      </c>
      <c r="I558" s="19"/>
      <c r="J558" s="18"/>
    </row>
    <row r="559" customFormat="false" ht="22.35" hidden="false" customHeight="false" outlineLevel="0" collapsed="false">
      <c r="A559" s="18" t="s">
        <v>1155</v>
      </c>
      <c r="B559" s="18" t="s">
        <v>51</v>
      </c>
      <c r="C559" s="18" t="s">
        <v>942</v>
      </c>
      <c r="D559" s="18" t="s">
        <v>164</v>
      </c>
      <c r="E559" s="19" t="s">
        <v>1156</v>
      </c>
      <c r="F559" s="18" t="s">
        <v>2624</v>
      </c>
      <c r="G559" s="18" t="n">
        <v>1</v>
      </c>
      <c r="H559" s="18" t="s">
        <v>2660</v>
      </c>
      <c r="I559" s="19"/>
      <c r="J559" s="18"/>
    </row>
    <row r="560" customFormat="false" ht="15" hidden="false" customHeight="false" outlineLevel="0" collapsed="false">
      <c r="A560" s="18" t="s">
        <v>1157</v>
      </c>
      <c r="B560" s="18" t="s">
        <v>51</v>
      </c>
      <c r="C560" s="18" t="s">
        <v>942</v>
      </c>
      <c r="D560" s="18" t="s">
        <v>164</v>
      </c>
      <c r="E560" s="19" t="s">
        <v>1158</v>
      </c>
      <c r="F560" s="18" t="s">
        <v>2624</v>
      </c>
      <c r="G560" s="18" t="n">
        <v>1</v>
      </c>
      <c r="H560" s="18" t="s">
        <v>2660</v>
      </c>
      <c r="I560" s="19"/>
      <c r="J560" s="18"/>
    </row>
    <row r="561" customFormat="false" ht="22.35" hidden="false" customHeight="false" outlineLevel="0" collapsed="false">
      <c r="A561" s="18" t="s">
        <v>1159</v>
      </c>
      <c r="B561" s="18" t="s">
        <v>51</v>
      </c>
      <c r="C561" s="18" t="s">
        <v>942</v>
      </c>
      <c r="D561" s="18" t="s">
        <v>164</v>
      </c>
      <c r="E561" s="19" t="s">
        <v>1160</v>
      </c>
      <c r="F561" s="18" t="s">
        <v>2624</v>
      </c>
      <c r="G561" s="18" t="n">
        <v>1</v>
      </c>
      <c r="H561" s="18" t="s">
        <v>2660</v>
      </c>
      <c r="I561" s="19"/>
      <c r="J561" s="18"/>
    </row>
    <row r="562" customFormat="false" ht="22.35" hidden="false" customHeight="false" outlineLevel="0" collapsed="false">
      <c r="A562" s="18" t="s">
        <v>1161</v>
      </c>
      <c r="B562" s="18" t="s">
        <v>51</v>
      </c>
      <c r="C562" s="18" t="s">
        <v>942</v>
      </c>
      <c r="D562" s="18" t="s">
        <v>164</v>
      </c>
      <c r="E562" s="19" t="s">
        <v>1162</v>
      </c>
      <c r="F562" s="18" t="s">
        <v>2624</v>
      </c>
      <c r="G562" s="18" t="n">
        <v>1</v>
      </c>
      <c r="H562" s="18" t="s">
        <v>2660</v>
      </c>
      <c r="I562" s="19"/>
      <c r="J562" s="18"/>
    </row>
    <row r="563" customFormat="false" ht="15" hidden="false" customHeight="false" outlineLevel="0" collapsed="false">
      <c r="A563" s="18" t="s">
        <v>1163</v>
      </c>
      <c r="B563" s="18" t="s">
        <v>51</v>
      </c>
      <c r="C563" s="18" t="s">
        <v>942</v>
      </c>
      <c r="D563" s="18" t="s">
        <v>164</v>
      </c>
      <c r="E563" s="19" t="s">
        <v>1164</v>
      </c>
      <c r="F563" s="18" t="s">
        <v>2624</v>
      </c>
      <c r="G563" s="18" t="n">
        <v>1</v>
      </c>
      <c r="H563" s="18" t="s">
        <v>2660</v>
      </c>
      <c r="I563" s="19"/>
      <c r="J563" s="18"/>
    </row>
    <row r="564" customFormat="false" ht="22.35" hidden="false" customHeight="false" outlineLevel="0" collapsed="false">
      <c r="A564" s="18" t="s">
        <v>1165</v>
      </c>
      <c r="B564" s="18" t="s">
        <v>51</v>
      </c>
      <c r="C564" s="18" t="s">
        <v>942</v>
      </c>
      <c r="D564" s="18" t="s">
        <v>164</v>
      </c>
      <c r="E564" s="19" t="s">
        <v>1166</v>
      </c>
      <c r="F564" s="18" t="s">
        <v>2624</v>
      </c>
      <c r="G564" s="18" t="n">
        <v>1</v>
      </c>
      <c r="H564" s="18" t="s">
        <v>2660</v>
      </c>
      <c r="I564" s="19"/>
      <c r="J564" s="18"/>
    </row>
    <row r="565" customFormat="false" ht="15" hidden="false" customHeight="false" outlineLevel="0" collapsed="false">
      <c r="A565" s="18" t="s">
        <v>1167</v>
      </c>
      <c r="B565" s="18" t="s">
        <v>51</v>
      </c>
      <c r="C565" s="18" t="s">
        <v>942</v>
      </c>
      <c r="D565" s="18" t="s">
        <v>164</v>
      </c>
      <c r="E565" s="19" t="s">
        <v>1168</v>
      </c>
      <c r="F565" s="18" t="s">
        <v>2624</v>
      </c>
      <c r="G565" s="18" t="n">
        <v>1</v>
      </c>
      <c r="H565" s="18" t="s">
        <v>2660</v>
      </c>
      <c r="I565" s="19"/>
      <c r="J565" s="18"/>
    </row>
    <row r="566" customFormat="false" ht="22.35" hidden="false" customHeight="false" outlineLevel="0" collapsed="false">
      <c r="A566" s="18" t="s">
        <v>1169</v>
      </c>
      <c r="B566" s="18" t="s">
        <v>51</v>
      </c>
      <c r="C566" s="18" t="s">
        <v>942</v>
      </c>
      <c r="D566" s="18" t="s">
        <v>164</v>
      </c>
      <c r="E566" s="19" t="s">
        <v>1170</v>
      </c>
      <c r="F566" s="18" t="s">
        <v>2624</v>
      </c>
      <c r="G566" s="18" t="n">
        <v>1</v>
      </c>
      <c r="H566" s="18" t="s">
        <v>2660</v>
      </c>
      <c r="I566" s="19"/>
      <c r="J566" s="18"/>
    </row>
    <row r="567" customFormat="false" ht="22.35" hidden="false" customHeight="false" outlineLevel="0" collapsed="false">
      <c r="A567" s="18" t="s">
        <v>1171</v>
      </c>
      <c r="B567" s="18" t="s">
        <v>51</v>
      </c>
      <c r="C567" s="18" t="s">
        <v>942</v>
      </c>
      <c r="D567" s="18" t="s">
        <v>164</v>
      </c>
      <c r="E567" s="19" t="s">
        <v>1172</v>
      </c>
      <c r="F567" s="18" t="s">
        <v>2624</v>
      </c>
      <c r="G567" s="18" t="n">
        <v>1</v>
      </c>
      <c r="H567" s="18" t="s">
        <v>2625</v>
      </c>
      <c r="I567" s="19"/>
      <c r="J567" s="18"/>
    </row>
    <row r="568" customFormat="false" ht="15" hidden="false" customHeight="false" outlineLevel="0" collapsed="false">
      <c r="A568" s="18" t="s">
        <v>1173</v>
      </c>
      <c r="B568" s="18" t="s">
        <v>51</v>
      </c>
      <c r="C568" s="18" t="s">
        <v>942</v>
      </c>
      <c r="D568" s="18" t="s">
        <v>164</v>
      </c>
      <c r="E568" s="19" t="s">
        <v>1174</v>
      </c>
      <c r="F568" s="18" t="s">
        <v>2624</v>
      </c>
      <c r="G568" s="18" t="n">
        <v>1</v>
      </c>
      <c r="H568" s="18" t="s">
        <v>2660</v>
      </c>
      <c r="I568" s="19"/>
      <c r="J568" s="18"/>
    </row>
    <row r="569" customFormat="false" ht="43.25" hidden="false" customHeight="false" outlineLevel="0" collapsed="false">
      <c r="A569" s="18" t="s">
        <v>1175</v>
      </c>
      <c r="B569" s="18" t="s">
        <v>51</v>
      </c>
      <c r="C569" s="18" t="s">
        <v>942</v>
      </c>
      <c r="D569" s="18" t="s">
        <v>164</v>
      </c>
      <c r="E569" s="19" t="s">
        <v>1176</v>
      </c>
      <c r="F569" s="18" t="s">
        <v>2624</v>
      </c>
      <c r="G569" s="18" t="n">
        <v>1</v>
      </c>
      <c r="H569" s="18" t="s">
        <v>2625</v>
      </c>
      <c r="I569" s="19"/>
      <c r="J569" s="18"/>
    </row>
    <row r="570" customFormat="false" ht="22.35" hidden="false" customHeight="false" outlineLevel="0" collapsed="false">
      <c r="A570" s="18" t="s">
        <v>1177</v>
      </c>
      <c r="B570" s="18" t="s">
        <v>51</v>
      </c>
      <c r="C570" s="18" t="s">
        <v>942</v>
      </c>
      <c r="D570" s="18" t="s">
        <v>164</v>
      </c>
      <c r="E570" s="19" t="s">
        <v>1178</v>
      </c>
      <c r="F570" s="18" t="s">
        <v>2624</v>
      </c>
      <c r="G570" s="18" t="n">
        <v>1</v>
      </c>
      <c r="H570" s="18" t="s">
        <v>2660</v>
      </c>
      <c r="I570" s="19"/>
      <c r="J570" s="18"/>
    </row>
    <row r="571" customFormat="false" ht="15" hidden="false" customHeight="false" outlineLevel="0" collapsed="false">
      <c r="A571" s="18" t="s">
        <v>1179</v>
      </c>
      <c r="B571" s="18" t="s">
        <v>51</v>
      </c>
      <c r="C571" s="18" t="s">
        <v>942</v>
      </c>
      <c r="D571" s="18" t="s">
        <v>158</v>
      </c>
      <c r="E571" s="19" t="s">
        <v>447</v>
      </c>
      <c r="F571" s="18" t="s">
        <v>2624</v>
      </c>
      <c r="G571" s="18" t="n">
        <v>1</v>
      </c>
      <c r="H571" s="18" t="s">
        <v>2644</v>
      </c>
      <c r="I571" s="19"/>
      <c r="J571" s="18"/>
    </row>
    <row r="572" customFormat="false" ht="15" hidden="false" customHeight="false" outlineLevel="0" collapsed="false">
      <c r="A572" s="18" t="s">
        <v>1180</v>
      </c>
      <c r="B572" s="18" t="s">
        <v>51</v>
      </c>
      <c r="C572" s="18" t="s">
        <v>942</v>
      </c>
      <c r="D572" s="18" t="s">
        <v>411</v>
      </c>
      <c r="E572" s="19" t="s">
        <v>449</v>
      </c>
      <c r="F572" s="18" t="s">
        <v>2624</v>
      </c>
      <c r="G572" s="18" t="n">
        <v>1</v>
      </c>
      <c r="H572" s="18" t="s">
        <v>2645</v>
      </c>
      <c r="I572" s="19"/>
      <c r="J572" s="18"/>
    </row>
    <row r="573" customFormat="false" ht="32.8" hidden="false" customHeight="false" outlineLevel="0" collapsed="false">
      <c r="A573" s="18" t="s">
        <v>1181</v>
      </c>
      <c r="B573" s="18" t="s">
        <v>51</v>
      </c>
      <c r="C573" s="18" t="s">
        <v>942</v>
      </c>
      <c r="D573" s="18" t="s">
        <v>411</v>
      </c>
      <c r="E573" s="19" t="s">
        <v>1182</v>
      </c>
      <c r="F573" s="18" t="s">
        <v>2624</v>
      </c>
      <c r="G573" s="18" t="n">
        <v>1</v>
      </c>
      <c r="H573" s="18" t="s">
        <v>2645</v>
      </c>
      <c r="I573" s="19"/>
      <c r="J573" s="18"/>
    </row>
    <row r="574" customFormat="false" ht="22.35" hidden="false" customHeight="false" outlineLevel="0" collapsed="false">
      <c r="A574" s="18" t="s">
        <v>1183</v>
      </c>
      <c r="B574" s="18" t="s">
        <v>51</v>
      </c>
      <c r="C574" s="18" t="s">
        <v>942</v>
      </c>
      <c r="D574" s="18" t="s">
        <v>411</v>
      </c>
      <c r="E574" s="19" t="s">
        <v>1184</v>
      </c>
      <c r="F574" s="18" t="s">
        <v>2624</v>
      </c>
      <c r="G574" s="18" t="n">
        <v>0.85</v>
      </c>
      <c r="H574" s="18" t="s">
        <v>2661</v>
      </c>
      <c r="I574" s="19"/>
      <c r="J574" s="18"/>
    </row>
    <row r="575" customFormat="false" ht="32.8" hidden="false" customHeight="false" outlineLevel="0" collapsed="false">
      <c r="A575" s="18" t="s">
        <v>1185</v>
      </c>
      <c r="B575" s="18" t="s">
        <v>51</v>
      </c>
      <c r="C575" s="18" t="s">
        <v>942</v>
      </c>
      <c r="D575" s="18" t="s">
        <v>411</v>
      </c>
      <c r="E575" s="19" t="s">
        <v>1186</v>
      </c>
      <c r="F575" s="18" t="s">
        <v>2624</v>
      </c>
      <c r="G575" s="18" t="n">
        <v>1</v>
      </c>
      <c r="H575" s="18" t="s">
        <v>2625</v>
      </c>
      <c r="I575" s="19"/>
      <c r="J575" s="18"/>
    </row>
    <row r="576" customFormat="false" ht="22.35" hidden="false" customHeight="false" outlineLevel="0" collapsed="false">
      <c r="A576" s="18" t="s">
        <v>1187</v>
      </c>
      <c r="B576" s="18" t="s">
        <v>51</v>
      </c>
      <c r="C576" s="18" t="s">
        <v>942</v>
      </c>
      <c r="D576" s="18" t="s">
        <v>411</v>
      </c>
      <c r="E576" s="19" t="s">
        <v>455</v>
      </c>
      <c r="F576" s="18" t="s">
        <v>2627</v>
      </c>
      <c r="G576" s="18" t="n">
        <v>0</v>
      </c>
      <c r="H576" s="18"/>
      <c r="I576" s="19" t="s">
        <v>2635</v>
      </c>
      <c r="J576" s="18"/>
    </row>
    <row r="577" customFormat="false" ht="15" hidden="false" customHeight="false" outlineLevel="0" collapsed="false">
      <c r="A577" s="18" t="s">
        <v>1188</v>
      </c>
      <c r="B577" s="18" t="s">
        <v>51</v>
      </c>
      <c r="C577" s="18" t="s">
        <v>942</v>
      </c>
      <c r="D577" s="18" t="s">
        <v>411</v>
      </c>
      <c r="E577" s="19" t="s">
        <v>457</v>
      </c>
      <c r="F577" s="18" t="s">
        <v>2627</v>
      </c>
      <c r="G577" s="18" t="n">
        <v>0.2</v>
      </c>
      <c r="H577" s="18"/>
      <c r="I577" s="19" t="s">
        <v>2634</v>
      </c>
      <c r="J577" s="18"/>
    </row>
    <row r="578" customFormat="false" ht="32.8" hidden="false" customHeight="false" outlineLevel="0" collapsed="false">
      <c r="A578" s="18" t="s">
        <v>1189</v>
      </c>
      <c r="B578" s="18" t="s">
        <v>51</v>
      </c>
      <c r="C578" s="18" t="s">
        <v>942</v>
      </c>
      <c r="D578" s="18" t="s">
        <v>411</v>
      </c>
      <c r="E578" s="19" t="s">
        <v>1190</v>
      </c>
      <c r="F578" s="18" t="s">
        <v>2624</v>
      </c>
      <c r="G578" s="18" t="n">
        <v>1</v>
      </c>
      <c r="H578" s="18" t="s">
        <v>2625</v>
      </c>
      <c r="I578" s="19"/>
      <c r="J578" s="18"/>
    </row>
    <row r="579" customFormat="false" ht="15" hidden="false" customHeight="false" outlineLevel="0" collapsed="false">
      <c r="A579" s="18" t="s">
        <v>1191</v>
      </c>
      <c r="B579" s="18" t="s">
        <v>51</v>
      </c>
      <c r="C579" s="18" t="s">
        <v>942</v>
      </c>
      <c r="D579" s="18" t="s">
        <v>411</v>
      </c>
      <c r="E579" s="19" t="s">
        <v>459</v>
      </c>
      <c r="F579" s="18" t="s">
        <v>2630</v>
      </c>
      <c r="G579" s="18" t="n">
        <v>0.67</v>
      </c>
      <c r="H579" s="18" t="s">
        <v>2647</v>
      </c>
      <c r="I579" s="19"/>
      <c r="J579" s="18"/>
    </row>
    <row r="580" customFormat="false" ht="15" hidden="false" customHeight="false" outlineLevel="0" collapsed="false">
      <c r="A580" s="18" t="s">
        <v>1192</v>
      </c>
      <c r="B580" s="18" t="s">
        <v>51</v>
      </c>
      <c r="C580" s="18" t="s">
        <v>942</v>
      </c>
      <c r="D580" s="18" t="s">
        <v>411</v>
      </c>
      <c r="E580" s="19" t="s">
        <v>1193</v>
      </c>
      <c r="F580" s="18" t="s">
        <v>2624</v>
      </c>
      <c r="G580" s="18" t="n">
        <v>1</v>
      </c>
      <c r="H580" s="18" t="s">
        <v>2645</v>
      </c>
      <c r="I580" s="19"/>
      <c r="J580" s="18"/>
    </row>
    <row r="581" customFormat="false" ht="15" hidden="false" customHeight="false" outlineLevel="0" collapsed="false">
      <c r="A581" s="18" t="s">
        <v>1194</v>
      </c>
      <c r="B581" s="18" t="s">
        <v>51</v>
      </c>
      <c r="C581" s="18" t="s">
        <v>942</v>
      </c>
      <c r="D581" s="18" t="s">
        <v>411</v>
      </c>
      <c r="E581" s="19" t="s">
        <v>1195</v>
      </c>
      <c r="F581" s="18" t="s">
        <v>2624</v>
      </c>
      <c r="G581" s="18" t="n">
        <v>1</v>
      </c>
      <c r="H581" s="18" t="s">
        <v>2645</v>
      </c>
      <c r="I581" s="19"/>
      <c r="J581" s="18"/>
    </row>
    <row r="582" customFormat="false" ht="15" hidden="false" customHeight="false" outlineLevel="0" collapsed="false">
      <c r="A582" s="18" t="s">
        <v>1196</v>
      </c>
      <c r="B582" s="18" t="s">
        <v>51</v>
      </c>
      <c r="C582" s="18" t="s">
        <v>942</v>
      </c>
      <c r="D582" s="18" t="s">
        <v>411</v>
      </c>
      <c r="E582" s="19" t="s">
        <v>1197</v>
      </c>
      <c r="F582" s="18" t="s">
        <v>2624</v>
      </c>
      <c r="G582" s="18" t="n">
        <v>1</v>
      </c>
      <c r="H582" s="18" t="s">
        <v>2645</v>
      </c>
      <c r="I582" s="19"/>
      <c r="J582" s="18"/>
    </row>
    <row r="583" customFormat="false" ht="22.35" hidden="false" customHeight="false" outlineLevel="0" collapsed="false">
      <c r="A583" s="18" t="s">
        <v>1198</v>
      </c>
      <c r="B583" s="18" t="s">
        <v>51</v>
      </c>
      <c r="C583" s="18" t="s">
        <v>942</v>
      </c>
      <c r="D583" s="18" t="s">
        <v>411</v>
      </c>
      <c r="E583" s="19" t="s">
        <v>1199</v>
      </c>
      <c r="F583" s="18" t="s">
        <v>2624</v>
      </c>
      <c r="G583" s="18" t="n">
        <v>1</v>
      </c>
      <c r="H583" s="18" t="s">
        <v>2625</v>
      </c>
      <c r="I583" s="19"/>
      <c r="J583" s="18"/>
    </row>
    <row r="584" customFormat="false" ht="32.8" hidden="false" customHeight="false" outlineLevel="0" collapsed="false">
      <c r="A584" s="18" t="s">
        <v>1200</v>
      </c>
      <c r="B584" s="18" t="s">
        <v>51</v>
      </c>
      <c r="C584" s="18" t="s">
        <v>942</v>
      </c>
      <c r="D584" s="18" t="s">
        <v>411</v>
      </c>
      <c r="E584" s="19" t="s">
        <v>1201</v>
      </c>
      <c r="F584" s="18" t="s">
        <v>2624</v>
      </c>
      <c r="G584" s="18" t="n">
        <v>1</v>
      </c>
      <c r="H584" s="18" t="s">
        <v>2625</v>
      </c>
      <c r="I584" s="19"/>
      <c r="J584" s="18"/>
    </row>
    <row r="585" customFormat="false" ht="32.8" hidden="false" customHeight="false" outlineLevel="0" collapsed="false">
      <c r="A585" s="18" t="s">
        <v>1202</v>
      </c>
      <c r="B585" s="18" t="s">
        <v>51</v>
      </c>
      <c r="C585" s="18" t="s">
        <v>942</v>
      </c>
      <c r="D585" s="18" t="s">
        <v>411</v>
      </c>
      <c r="E585" s="19" t="s">
        <v>1203</v>
      </c>
      <c r="F585" s="18" t="s">
        <v>2624</v>
      </c>
      <c r="G585" s="18" t="n">
        <v>1</v>
      </c>
      <c r="H585" s="18" t="s">
        <v>2625</v>
      </c>
      <c r="I585" s="19"/>
      <c r="J585" s="18"/>
    </row>
    <row r="586" customFormat="false" ht="32.8" hidden="false" customHeight="false" outlineLevel="0" collapsed="false">
      <c r="A586" s="18" t="s">
        <v>1204</v>
      </c>
      <c r="B586" s="18" t="s">
        <v>51</v>
      </c>
      <c r="C586" s="18" t="s">
        <v>942</v>
      </c>
      <c r="D586" s="18" t="s">
        <v>411</v>
      </c>
      <c r="E586" s="19" t="s">
        <v>1205</v>
      </c>
      <c r="F586" s="18" t="s">
        <v>2624</v>
      </c>
      <c r="G586" s="18" t="n">
        <v>1</v>
      </c>
      <c r="H586" s="18" t="s">
        <v>2625</v>
      </c>
      <c r="I586" s="19"/>
      <c r="J586" s="18"/>
    </row>
    <row r="587" customFormat="false" ht="22.35" hidden="false" customHeight="false" outlineLevel="0" collapsed="false">
      <c r="A587" s="18" t="s">
        <v>1206</v>
      </c>
      <c r="B587" s="18" t="s">
        <v>51</v>
      </c>
      <c r="C587" s="18" t="s">
        <v>942</v>
      </c>
      <c r="D587" s="18" t="s">
        <v>158</v>
      </c>
      <c r="E587" s="19" t="s">
        <v>467</v>
      </c>
      <c r="F587" s="18" t="s">
        <v>2631</v>
      </c>
      <c r="G587" s="18" t="n">
        <v>0</v>
      </c>
      <c r="H587" s="18"/>
      <c r="I587" s="19" t="s">
        <v>2639</v>
      </c>
      <c r="J587" s="18"/>
    </row>
    <row r="588" customFormat="false" ht="32.8" hidden="false" customHeight="false" outlineLevel="0" collapsed="false">
      <c r="A588" s="18" t="s">
        <v>1207</v>
      </c>
      <c r="B588" s="18" t="s">
        <v>51</v>
      </c>
      <c r="C588" s="18" t="s">
        <v>942</v>
      </c>
      <c r="D588" s="18" t="s">
        <v>164</v>
      </c>
      <c r="E588" s="19" t="s">
        <v>1208</v>
      </c>
      <c r="F588" s="18" t="s">
        <v>2631</v>
      </c>
      <c r="G588" s="18" t="n">
        <v>0.15</v>
      </c>
      <c r="H588" s="18"/>
      <c r="I588" s="19" t="s">
        <v>2639</v>
      </c>
      <c r="J588" s="18"/>
    </row>
    <row r="589" customFormat="false" ht="32.8" hidden="false" customHeight="false" outlineLevel="0" collapsed="false">
      <c r="A589" s="18" t="s">
        <v>1209</v>
      </c>
      <c r="B589" s="18" t="s">
        <v>51</v>
      </c>
      <c r="C589" s="18" t="s">
        <v>942</v>
      </c>
      <c r="D589" s="18" t="s">
        <v>164</v>
      </c>
      <c r="E589" s="19" t="s">
        <v>1210</v>
      </c>
      <c r="F589" s="18" t="s">
        <v>2631</v>
      </c>
      <c r="G589" s="18" t="n">
        <v>0.25</v>
      </c>
      <c r="H589" s="18"/>
      <c r="I589" s="19" t="s">
        <v>2639</v>
      </c>
      <c r="J589" s="18"/>
    </row>
    <row r="590" customFormat="false" ht="22.35" hidden="false" customHeight="false" outlineLevel="0" collapsed="false">
      <c r="A590" s="18" t="s">
        <v>1211</v>
      </c>
      <c r="B590" s="18" t="s">
        <v>51</v>
      </c>
      <c r="C590" s="18" t="s">
        <v>942</v>
      </c>
      <c r="D590" s="18" t="s">
        <v>164</v>
      </c>
      <c r="E590" s="19" t="s">
        <v>1212</v>
      </c>
      <c r="F590" s="18" t="s">
        <v>2631</v>
      </c>
      <c r="G590" s="18" t="n">
        <v>0.14</v>
      </c>
      <c r="H590" s="18"/>
      <c r="I590" s="19" t="s">
        <v>2639</v>
      </c>
      <c r="J590" s="18"/>
    </row>
    <row r="591" customFormat="false" ht="22.35" hidden="false" customHeight="false" outlineLevel="0" collapsed="false">
      <c r="A591" s="18" t="s">
        <v>1213</v>
      </c>
      <c r="B591" s="18" t="s">
        <v>51</v>
      </c>
      <c r="C591" s="18" t="s">
        <v>942</v>
      </c>
      <c r="D591" s="18" t="s">
        <v>164</v>
      </c>
      <c r="E591" s="19" t="s">
        <v>475</v>
      </c>
      <c r="F591" s="18" t="s">
        <v>2631</v>
      </c>
      <c r="G591" s="18" t="n">
        <v>0.11</v>
      </c>
      <c r="H591" s="18"/>
      <c r="I591" s="19" t="s">
        <v>2639</v>
      </c>
      <c r="J591" s="18"/>
    </row>
    <row r="592" customFormat="false" ht="74.6" hidden="false" customHeight="false" outlineLevel="0" collapsed="false">
      <c r="A592" s="18" t="s">
        <v>1214</v>
      </c>
      <c r="B592" s="18" t="s">
        <v>51</v>
      </c>
      <c r="C592" s="18" t="s">
        <v>942</v>
      </c>
      <c r="D592" s="18" t="s">
        <v>158</v>
      </c>
      <c r="E592" s="19" t="s">
        <v>1215</v>
      </c>
      <c r="F592" s="18" t="s">
        <v>2636</v>
      </c>
      <c r="G592" s="18" t="n">
        <v>0.07</v>
      </c>
      <c r="H592" s="18"/>
      <c r="I592" s="19" t="s">
        <v>2637</v>
      </c>
      <c r="J592" s="18"/>
    </row>
    <row r="593" customFormat="false" ht="15" hidden="false" customHeight="false" outlineLevel="0" collapsed="false">
      <c r="A593" s="18" t="s">
        <v>1216</v>
      </c>
      <c r="B593" s="18" t="s">
        <v>51</v>
      </c>
      <c r="C593" s="18" t="s">
        <v>942</v>
      </c>
      <c r="D593" s="18" t="s">
        <v>478</v>
      </c>
      <c r="E593" s="19" t="s">
        <v>1217</v>
      </c>
      <c r="F593" s="18" t="s">
        <v>2624</v>
      </c>
      <c r="G593" s="18" t="n">
        <v>1</v>
      </c>
      <c r="H593" s="18" t="s">
        <v>2625</v>
      </c>
      <c r="I593" s="19"/>
      <c r="J593" s="18"/>
    </row>
    <row r="594" customFormat="false" ht="22.35" hidden="false" customHeight="false" outlineLevel="0" collapsed="false">
      <c r="A594" s="18" t="s">
        <v>1218</v>
      </c>
      <c r="B594" s="18" t="s">
        <v>51</v>
      </c>
      <c r="C594" s="18" t="s">
        <v>942</v>
      </c>
      <c r="D594" s="18" t="s">
        <v>478</v>
      </c>
      <c r="E594" s="19" t="s">
        <v>1219</v>
      </c>
      <c r="F594" s="18" t="s">
        <v>2630</v>
      </c>
      <c r="G594" s="18" t="n">
        <v>0.62</v>
      </c>
      <c r="H594" s="18" t="s">
        <v>2633</v>
      </c>
      <c r="I594" s="19"/>
      <c r="J594" s="18"/>
    </row>
    <row r="595" customFormat="false" ht="32.8" hidden="false" customHeight="false" outlineLevel="0" collapsed="false">
      <c r="A595" s="18" t="s">
        <v>1220</v>
      </c>
      <c r="B595" s="18" t="s">
        <v>51</v>
      </c>
      <c r="C595" s="18" t="s">
        <v>942</v>
      </c>
      <c r="D595" s="18" t="s">
        <v>478</v>
      </c>
      <c r="E595" s="19" t="s">
        <v>1221</v>
      </c>
      <c r="F595" s="18" t="s">
        <v>2648</v>
      </c>
      <c r="G595" s="18" t="n">
        <v>0.24</v>
      </c>
      <c r="H595" s="18"/>
      <c r="I595" s="19" t="s">
        <v>2649</v>
      </c>
      <c r="J595" s="18"/>
    </row>
    <row r="596" customFormat="false" ht="32.8" hidden="false" customHeight="false" outlineLevel="0" collapsed="false">
      <c r="A596" s="18" t="s">
        <v>1222</v>
      </c>
      <c r="B596" s="18" t="s">
        <v>51</v>
      </c>
      <c r="C596" s="18" t="s">
        <v>942</v>
      </c>
      <c r="D596" s="18" t="s">
        <v>478</v>
      </c>
      <c r="E596" s="19" t="s">
        <v>1223</v>
      </c>
      <c r="F596" s="18" t="s">
        <v>2630</v>
      </c>
      <c r="G596" s="18" t="n">
        <v>0.84</v>
      </c>
      <c r="H596" s="18" t="s">
        <v>2633</v>
      </c>
      <c r="I596" s="19"/>
      <c r="J596" s="18"/>
    </row>
    <row r="597" customFormat="false" ht="32.8" hidden="false" customHeight="false" outlineLevel="0" collapsed="false">
      <c r="A597" s="18" t="s">
        <v>1224</v>
      </c>
      <c r="B597" s="18" t="s">
        <v>51</v>
      </c>
      <c r="C597" s="18" t="s">
        <v>942</v>
      </c>
      <c r="D597" s="18" t="s">
        <v>478</v>
      </c>
      <c r="E597" s="19" t="s">
        <v>1225</v>
      </c>
      <c r="F597" s="18" t="s">
        <v>2624</v>
      </c>
      <c r="G597" s="18" t="n">
        <v>0.87</v>
      </c>
      <c r="H597" s="18" t="s">
        <v>2633</v>
      </c>
      <c r="I597" s="19"/>
      <c r="J597" s="18"/>
    </row>
    <row r="598" customFormat="false" ht="32.8" hidden="false" customHeight="false" outlineLevel="0" collapsed="false">
      <c r="A598" s="18" t="s">
        <v>1226</v>
      </c>
      <c r="B598" s="18" t="s">
        <v>51</v>
      </c>
      <c r="C598" s="18" t="s">
        <v>942</v>
      </c>
      <c r="D598" s="18" t="s">
        <v>478</v>
      </c>
      <c r="E598" s="19" t="s">
        <v>1227</v>
      </c>
      <c r="F598" s="18" t="s">
        <v>2630</v>
      </c>
      <c r="G598" s="18" t="n">
        <v>0.79</v>
      </c>
      <c r="H598" s="18" t="s">
        <v>2625</v>
      </c>
      <c r="I598" s="19"/>
      <c r="J598" s="18"/>
    </row>
    <row r="599" customFormat="false" ht="15" hidden="false" customHeight="false" outlineLevel="0" collapsed="false">
      <c r="A599" s="18" t="s">
        <v>1228</v>
      </c>
      <c r="B599" s="18" t="s">
        <v>51</v>
      </c>
      <c r="C599" s="18" t="s">
        <v>942</v>
      </c>
      <c r="D599" s="18" t="s">
        <v>478</v>
      </c>
      <c r="E599" s="19" t="s">
        <v>491</v>
      </c>
      <c r="F599" s="18" t="s">
        <v>2624</v>
      </c>
      <c r="G599" s="18" t="n">
        <v>1</v>
      </c>
      <c r="H599" s="18" t="s">
        <v>2650</v>
      </c>
      <c r="I599" s="19"/>
      <c r="J599" s="18"/>
    </row>
    <row r="600" customFormat="false" ht="15" hidden="false" customHeight="false" outlineLevel="0" collapsed="false">
      <c r="A600" s="18" t="s">
        <v>1229</v>
      </c>
      <c r="B600" s="18" t="s">
        <v>51</v>
      </c>
      <c r="C600" s="18" t="s">
        <v>942</v>
      </c>
      <c r="D600" s="18" t="s">
        <v>478</v>
      </c>
      <c r="E600" s="19" t="s">
        <v>1230</v>
      </c>
      <c r="F600" s="18" t="s">
        <v>2624</v>
      </c>
      <c r="G600" s="18" t="n">
        <v>1</v>
      </c>
      <c r="H600" s="18" t="s">
        <v>2662</v>
      </c>
      <c r="I600" s="19"/>
      <c r="J600" s="18"/>
    </row>
    <row r="601" customFormat="false" ht="15" hidden="false" customHeight="false" outlineLevel="0" collapsed="false">
      <c r="A601" s="18" t="s">
        <v>1231</v>
      </c>
      <c r="B601" s="18" t="s">
        <v>51</v>
      </c>
      <c r="C601" s="18" t="s">
        <v>942</v>
      </c>
      <c r="D601" s="18" t="s">
        <v>478</v>
      </c>
      <c r="E601" s="19" t="s">
        <v>1232</v>
      </c>
      <c r="F601" s="18" t="s">
        <v>2624</v>
      </c>
      <c r="G601" s="18" t="n">
        <v>1</v>
      </c>
      <c r="H601" s="18" t="s">
        <v>2662</v>
      </c>
      <c r="I601" s="19"/>
      <c r="J601" s="18"/>
    </row>
    <row r="602" customFormat="false" ht="22.35" hidden="false" customHeight="false" outlineLevel="0" collapsed="false">
      <c r="A602" s="18" t="s">
        <v>1233</v>
      </c>
      <c r="B602" s="18" t="s">
        <v>51</v>
      </c>
      <c r="C602" s="18" t="s">
        <v>942</v>
      </c>
      <c r="D602" s="18" t="s">
        <v>478</v>
      </c>
      <c r="E602" s="19" t="s">
        <v>1234</v>
      </c>
      <c r="F602" s="18" t="s">
        <v>2630</v>
      </c>
      <c r="G602" s="18" t="n">
        <v>0.8</v>
      </c>
      <c r="H602" s="18" t="s">
        <v>2662</v>
      </c>
      <c r="I602" s="19"/>
      <c r="J602" s="18"/>
    </row>
    <row r="603" customFormat="false" ht="22.35" hidden="false" customHeight="false" outlineLevel="0" collapsed="false">
      <c r="A603" s="18" t="s">
        <v>1235</v>
      </c>
      <c r="B603" s="18" t="s">
        <v>51</v>
      </c>
      <c r="C603" s="18" t="s">
        <v>942</v>
      </c>
      <c r="D603" s="18" t="s">
        <v>478</v>
      </c>
      <c r="E603" s="19" t="s">
        <v>1236</v>
      </c>
      <c r="F603" s="18" t="s">
        <v>2624</v>
      </c>
      <c r="G603" s="18" t="n">
        <v>1</v>
      </c>
      <c r="H603" s="18" t="s">
        <v>2662</v>
      </c>
      <c r="I603" s="19"/>
      <c r="J603" s="18"/>
    </row>
    <row r="604" customFormat="false" ht="15" hidden="false" customHeight="false" outlineLevel="0" collapsed="false">
      <c r="A604" s="18" t="s">
        <v>1237</v>
      </c>
      <c r="B604" s="18" t="s">
        <v>51</v>
      </c>
      <c r="C604" s="18" t="s">
        <v>942</v>
      </c>
      <c r="D604" s="18" t="s">
        <v>478</v>
      </c>
      <c r="E604" s="19" t="s">
        <v>1238</v>
      </c>
      <c r="F604" s="18" t="s">
        <v>2630</v>
      </c>
      <c r="G604" s="18" t="n">
        <v>0.71</v>
      </c>
      <c r="H604" s="18" t="s">
        <v>2662</v>
      </c>
      <c r="I604" s="19"/>
      <c r="J604" s="18"/>
    </row>
    <row r="605" customFormat="false" ht="22.35" hidden="false" customHeight="false" outlineLevel="0" collapsed="false">
      <c r="A605" s="18" t="s">
        <v>1239</v>
      </c>
      <c r="B605" s="18" t="s">
        <v>51</v>
      </c>
      <c r="C605" s="18" t="s">
        <v>942</v>
      </c>
      <c r="D605" s="18" t="s">
        <v>478</v>
      </c>
      <c r="E605" s="19" t="s">
        <v>1240</v>
      </c>
      <c r="F605" s="18" t="s">
        <v>2624</v>
      </c>
      <c r="G605" s="18" t="n">
        <v>1</v>
      </c>
      <c r="H605" s="18" t="s">
        <v>2662</v>
      </c>
      <c r="I605" s="19"/>
      <c r="J605" s="18"/>
    </row>
    <row r="606" customFormat="false" ht="22.35" hidden="false" customHeight="false" outlineLevel="0" collapsed="false">
      <c r="A606" s="18" t="s">
        <v>1241</v>
      </c>
      <c r="B606" s="18" t="s">
        <v>51</v>
      </c>
      <c r="C606" s="18" t="s">
        <v>942</v>
      </c>
      <c r="D606" s="18" t="s">
        <v>478</v>
      </c>
      <c r="E606" s="19" t="s">
        <v>1242</v>
      </c>
      <c r="F606" s="18" t="s">
        <v>2624</v>
      </c>
      <c r="G606" s="18" t="n">
        <v>1</v>
      </c>
      <c r="H606" s="18" t="s">
        <v>2662</v>
      </c>
      <c r="I606" s="19"/>
      <c r="J606" s="18"/>
    </row>
    <row r="607" customFormat="false" ht="15" hidden="false" customHeight="false" outlineLevel="0" collapsed="false">
      <c r="A607" s="18" t="s">
        <v>1243</v>
      </c>
      <c r="B607" s="18" t="s">
        <v>51</v>
      </c>
      <c r="C607" s="18" t="s">
        <v>942</v>
      </c>
      <c r="D607" s="18" t="s">
        <v>478</v>
      </c>
      <c r="E607" s="19" t="s">
        <v>1244</v>
      </c>
      <c r="F607" s="18" t="s">
        <v>2624</v>
      </c>
      <c r="G607" s="18" t="n">
        <v>1</v>
      </c>
      <c r="H607" s="18" t="s">
        <v>2662</v>
      </c>
      <c r="I607" s="19"/>
      <c r="J607" s="18"/>
    </row>
    <row r="608" customFormat="false" ht="15" hidden="false" customHeight="false" outlineLevel="0" collapsed="false">
      <c r="A608" s="18" t="s">
        <v>1245</v>
      </c>
      <c r="B608" s="18" t="s">
        <v>51</v>
      </c>
      <c r="C608" s="18" t="s">
        <v>942</v>
      </c>
      <c r="D608" s="18" t="s">
        <v>478</v>
      </c>
      <c r="E608" s="19" t="s">
        <v>1246</v>
      </c>
      <c r="F608" s="18" t="s">
        <v>2624</v>
      </c>
      <c r="G608" s="18" t="n">
        <v>1</v>
      </c>
      <c r="H608" s="18" t="s">
        <v>2662</v>
      </c>
      <c r="I608" s="19"/>
      <c r="J608" s="18"/>
    </row>
    <row r="609" customFormat="false" ht="15" hidden="false" customHeight="false" outlineLevel="0" collapsed="false">
      <c r="A609" s="18" t="s">
        <v>1247</v>
      </c>
      <c r="B609" s="18" t="s">
        <v>51</v>
      </c>
      <c r="C609" s="18" t="s">
        <v>942</v>
      </c>
      <c r="D609" s="18" t="s">
        <v>478</v>
      </c>
      <c r="E609" s="19" t="s">
        <v>1248</v>
      </c>
      <c r="F609" s="18" t="s">
        <v>2624</v>
      </c>
      <c r="G609" s="18" t="n">
        <v>1</v>
      </c>
      <c r="H609" s="18" t="s">
        <v>2662</v>
      </c>
      <c r="I609" s="19"/>
      <c r="J609" s="18"/>
    </row>
    <row r="610" customFormat="false" ht="22.35" hidden="false" customHeight="false" outlineLevel="0" collapsed="false">
      <c r="A610" s="18" t="s">
        <v>1249</v>
      </c>
      <c r="B610" s="18" t="s">
        <v>51</v>
      </c>
      <c r="C610" s="18" t="s">
        <v>942</v>
      </c>
      <c r="D610" s="18" t="s">
        <v>478</v>
      </c>
      <c r="E610" s="19" t="s">
        <v>1250</v>
      </c>
      <c r="F610" s="18" t="s">
        <v>2624</v>
      </c>
      <c r="G610" s="18" t="n">
        <v>1</v>
      </c>
      <c r="H610" s="18" t="s">
        <v>2662</v>
      </c>
      <c r="I610" s="19"/>
      <c r="J610" s="18"/>
    </row>
    <row r="611" customFormat="false" ht="32.8" hidden="false" customHeight="false" outlineLevel="0" collapsed="false">
      <c r="A611" s="18" t="s">
        <v>1251</v>
      </c>
      <c r="B611" s="18" t="s">
        <v>51</v>
      </c>
      <c r="C611" s="18" t="s">
        <v>942</v>
      </c>
      <c r="D611" s="18" t="s">
        <v>478</v>
      </c>
      <c r="E611" s="19" t="s">
        <v>1252</v>
      </c>
      <c r="F611" s="18" t="s">
        <v>2631</v>
      </c>
      <c r="G611" s="18" t="n">
        <v>0.18</v>
      </c>
      <c r="H611" s="18"/>
      <c r="I611" s="19" t="s">
        <v>2658</v>
      </c>
      <c r="J611" s="18"/>
    </row>
    <row r="612" customFormat="false" ht="22.35" hidden="false" customHeight="false" outlineLevel="0" collapsed="false">
      <c r="A612" s="18" t="s">
        <v>1253</v>
      </c>
      <c r="B612" s="18" t="s">
        <v>53</v>
      </c>
      <c r="C612" s="18" t="s">
        <v>1255</v>
      </c>
      <c r="D612" s="18" t="s">
        <v>158</v>
      </c>
      <c r="E612" s="19" t="s">
        <v>1254</v>
      </c>
      <c r="F612" s="18" t="s">
        <v>2631</v>
      </c>
      <c r="G612" s="18" t="n">
        <v>0</v>
      </c>
      <c r="H612" s="18"/>
      <c r="I612" s="19" t="s">
        <v>2655</v>
      </c>
      <c r="J612" s="18"/>
    </row>
    <row r="613" customFormat="false" ht="22.35" hidden="false" customHeight="false" outlineLevel="0" collapsed="false">
      <c r="A613" s="18" t="s">
        <v>1256</v>
      </c>
      <c r="B613" s="18" t="s">
        <v>53</v>
      </c>
      <c r="C613" s="18" t="s">
        <v>1255</v>
      </c>
      <c r="D613" s="18" t="s">
        <v>158</v>
      </c>
      <c r="E613" s="19" t="s">
        <v>1257</v>
      </c>
      <c r="F613" s="18" t="s">
        <v>2631</v>
      </c>
      <c r="G613" s="18" t="n">
        <v>0.2</v>
      </c>
      <c r="H613" s="18"/>
      <c r="I613" s="19" t="s">
        <v>2655</v>
      </c>
      <c r="J613" s="18"/>
    </row>
    <row r="614" customFormat="false" ht="15" hidden="false" customHeight="false" outlineLevel="0" collapsed="false">
      <c r="A614" s="18" t="s">
        <v>1258</v>
      </c>
      <c r="B614" s="18" t="s">
        <v>53</v>
      </c>
      <c r="C614" s="18" t="s">
        <v>1255</v>
      </c>
      <c r="D614" s="18" t="s">
        <v>93</v>
      </c>
      <c r="E614" s="19" t="s">
        <v>92</v>
      </c>
      <c r="F614" s="18" t="s">
        <v>2624</v>
      </c>
      <c r="G614" s="18" t="n">
        <v>1</v>
      </c>
      <c r="H614" s="18" t="s">
        <v>2625</v>
      </c>
      <c r="I614" s="19"/>
      <c r="J614" s="18"/>
    </row>
    <row r="615" customFormat="false" ht="15" hidden="false" customHeight="false" outlineLevel="0" collapsed="false">
      <c r="A615" s="18" t="s">
        <v>1259</v>
      </c>
      <c r="B615" s="18" t="s">
        <v>53</v>
      </c>
      <c r="C615" s="18" t="s">
        <v>1255</v>
      </c>
      <c r="D615" s="18" t="s">
        <v>93</v>
      </c>
      <c r="E615" s="19" t="s">
        <v>99</v>
      </c>
      <c r="F615" s="18" t="s">
        <v>2627</v>
      </c>
      <c r="G615" s="18" t="n">
        <v>0</v>
      </c>
      <c r="H615" s="18"/>
      <c r="I615" s="19" t="s">
        <v>2628</v>
      </c>
      <c r="J615" s="18"/>
    </row>
    <row r="616" customFormat="false" ht="15" hidden="false" customHeight="false" outlineLevel="0" collapsed="false">
      <c r="A616" s="18" t="s">
        <v>1260</v>
      </c>
      <c r="B616" s="18" t="s">
        <v>53</v>
      </c>
      <c r="C616" s="18" t="s">
        <v>1255</v>
      </c>
      <c r="D616" s="18" t="s">
        <v>93</v>
      </c>
      <c r="E616" s="19" t="s">
        <v>737</v>
      </c>
      <c r="F616" s="18" t="s">
        <v>2627</v>
      </c>
      <c r="G616" s="18" t="n">
        <v>0</v>
      </c>
      <c r="H616" s="18"/>
      <c r="I616" s="19" t="s">
        <v>2628</v>
      </c>
      <c r="J616" s="18"/>
    </row>
    <row r="617" customFormat="false" ht="15" hidden="false" customHeight="false" outlineLevel="0" collapsed="false">
      <c r="A617" s="18" t="s">
        <v>1261</v>
      </c>
      <c r="B617" s="18" t="s">
        <v>53</v>
      </c>
      <c r="C617" s="18" t="s">
        <v>1255</v>
      </c>
      <c r="D617" s="18" t="s">
        <v>93</v>
      </c>
      <c r="E617" s="19" t="s">
        <v>950</v>
      </c>
      <c r="F617" s="18" t="s">
        <v>2627</v>
      </c>
      <c r="G617" s="18" t="n">
        <v>0</v>
      </c>
      <c r="H617" s="18"/>
      <c r="I617" s="19" t="s">
        <v>2628</v>
      </c>
      <c r="J617" s="18"/>
    </row>
    <row r="618" customFormat="false" ht="15" hidden="false" customHeight="false" outlineLevel="0" collapsed="false">
      <c r="A618" s="18" t="s">
        <v>1262</v>
      </c>
      <c r="B618" s="18" t="s">
        <v>53</v>
      </c>
      <c r="C618" s="18" t="s">
        <v>1255</v>
      </c>
      <c r="D618" s="18" t="s">
        <v>93</v>
      </c>
      <c r="E618" s="19" t="s">
        <v>1263</v>
      </c>
      <c r="F618" s="18" t="s">
        <v>2627</v>
      </c>
      <c r="G618" s="18" t="n">
        <v>0</v>
      </c>
      <c r="H618" s="18"/>
      <c r="I618" s="19" t="s">
        <v>2628</v>
      </c>
      <c r="J618" s="18"/>
    </row>
    <row r="619" customFormat="false" ht="15" hidden="false" customHeight="false" outlineLevel="0" collapsed="false">
      <c r="A619" s="18" t="s">
        <v>1264</v>
      </c>
      <c r="B619" s="18" t="s">
        <v>53</v>
      </c>
      <c r="C619" s="18" t="s">
        <v>1255</v>
      </c>
      <c r="D619" s="18" t="s">
        <v>93</v>
      </c>
      <c r="E619" s="19" t="s">
        <v>1265</v>
      </c>
      <c r="F619" s="18" t="s">
        <v>2627</v>
      </c>
      <c r="G619" s="18" t="n">
        <v>0.27</v>
      </c>
      <c r="H619" s="18"/>
      <c r="I619" s="19" t="s">
        <v>2628</v>
      </c>
      <c r="J619" s="18"/>
    </row>
    <row r="620" customFormat="false" ht="22.35" hidden="false" customHeight="false" outlineLevel="0" collapsed="false">
      <c r="A620" s="18" t="s">
        <v>1266</v>
      </c>
      <c r="B620" s="18" t="s">
        <v>53</v>
      </c>
      <c r="C620" s="18" t="s">
        <v>1255</v>
      </c>
      <c r="D620" s="18" t="s">
        <v>93</v>
      </c>
      <c r="E620" s="19" t="s">
        <v>272</v>
      </c>
      <c r="F620" s="18" t="s">
        <v>2627</v>
      </c>
      <c r="G620" s="18" t="n">
        <v>0.31</v>
      </c>
      <c r="H620" s="18" t="s">
        <v>2625</v>
      </c>
      <c r="I620" s="19" t="s">
        <v>2628</v>
      </c>
      <c r="J620" s="18"/>
    </row>
    <row r="621" customFormat="false" ht="43.25" hidden="false" customHeight="false" outlineLevel="0" collapsed="false">
      <c r="A621" s="18" t="s">
        <v>1267</v>
      </c>
      <c r="B621" s="18" t="s">
        <v>53</v>
      </c>
      <c r="C621" s="18" t="s">
        <v>1255</v>
      </c>
      <c r="D621" s="18" t="s">
        <v>93</v>
      </c>
      <c r="E621" s="19" t="s">
        <v>1268</v>
      </c>
      <c r="F621" s="18" t="s">
        <v>2627</v>
      </c>
      <c r="G621" s="18" t="n">
        <v>0.19</v>
      </c>
      <c r="H621" s="18"/>
      <c r="I621" s="19" t="s">
        <v>2628</v>
      </c>
      <c r="J621" s="18"/>
    </row>
    <row r="622" customFormat="false" ht="15" hidden="false" customHeight="false" outlineLevel="0" collapsed="false">
      <c r="A622" s="18" t="s">
        <v>1269</v>
      </c>
      <c r="B622" s="18" t="s">
        <v>53</v>
      </c>
      <c r="C622" s="18" t="s">
        <v>1255</v>
      </c>
      <c r="D622" s="18" t="s">
        <v>93</v>
      </c>
      <c r="E622" s="19" t="s">
        <v>959</v>
      </c>
      <c r="F622" s="18" t="s">
        <v>2624</v>
      </c>
      <c r="G622" s="18" t="n">
        <v>1</v>
      </c>
      <c r="H622" s="18" t="s">
        <v>2625</v>
      </c>
      <c r="I622" s="19"/>
      <c r="J622" s="18"/>
    </row>
    <row r="623" customFormat="false" ht="15" hidden="false" customHeight="false" outlineLevel="0" collapsed="false">
      <c r="A623" s="18" t="s">
        <v>1270</v>
      </c>
      <c r="B623" s="18" t="s">
        <v>53</v>
      </c>
      <c r="C623" s="18" t="s">
        <v>1255</v>
      </c>
      <c r="D623" s="18" t="s">
        <v>93</v>
      </c>
      <c r="E623" s="19" t="s">
        <v>115</v>
      </c>
      <c r="F623" s="18" t="s">
        <v>2627</v>
      </c>
      <c r="G623" s="18" t="n">
        <v>0</v>
      </c>
      <c r="H623" s="18"/>
      <c r="I623" s="19" t="s">
        <v>2628</v>
      </c>
      <c r="J623" s="18"/>
    </row>
    <row r="624" customFormat="false" ht="15" hidden="false" customHeight="false" outlineLevel="0" collapsed="false">
      <c r="A624" s="18" t="s">
        <v>1271</v>
      </c>
      <c r="B624" s="18" t="s">
        <v>53</v>
      </c>
      <c r="C624" s="18" t="s">
        <v>1255</v>
      </c>
      <c r="D624" s="18" t="s">
        <v>93</v>
      </c>
      <c r="E624" s="19" t="s">
        <v>117</v>
      </c>
      <c r="F624" s="18" t="s">
        <v>2627</v>
      </c>
      <c r="G624" s="18" t="n">
        <v>0</v>
      </c>
      <c r="H624" s="18"/>
      <c r="I624" s="19" t="s">
        <v>2628</v>
      </c>
      <c r="J624" s="18"/>
    </row>
    <row r="625" customFormat="false" ht="15" hidden="false" customHeight="false" outlineLevel="0" collapsed="false">
      <c r="A625" s="18" t="s">
        <v>1272</v>
      </c>
      <c r="B625" s="18" t="s">
        <v>53</v>
      </c>
      <c r="C625" s="18" t="s">
        <v>1255</v>
      </c>
      <c r="D625" s="18" t="s">
        <v>93</v>
      </c>
      <c r="E625" s="19" t="s">
        <v>279</v>
      </c>
      <c r="F625" s="18" t="s">
        <v>2627</v>
      </c>
      <c r="G625" s="18" t="n">
        <v>0.1</v>
      </c>
      <c r="H625" s="18"/>
      <c r="I625" s="19" t="s">
        <v>2628</v>
      </c>
      <c r="J625" s="18"/>
    </row>
    <row r="626" customFormat="false" ht="15" hidden="false" customHeight="false" outlineLevel="0" collapsed="false">
      <c r="A626" s="18" t="s">
        <v>1273</v>
      </c>
      <c r="B626" s="18" t="s">
        <v>53</v>
      </c>
      <c r="C626" s="18" t="s">
        <v>1255</v>
      </c>
      <c r="D626" s="18" t="s">
        <v>93</v>
      </c>
      <c r="E626" s="19" t="s">
        <v>1274</v>
      </c>
      <c r="F626" s="18" t="s">
        <v>2627</v>
      </c>
      <c r="G626" s="18" t="n">
        <v>0.75</v>
      </c>
      <c r="H626" s="18" t="s">
        <v>2625</v>
      </c>
      <c r="I626" s="19" t="s">
        <v>2628</v>
      </c>
      <c r="J626" s="18"/>
    </row>
    <row r="627" customFormat="false" ht="15" hidden="false" customHeight="false" outlineLevel="0" collapsed="false">
      <c r="A627" s="18" t="s">
        <v>1275</v>
      </c>
      <c r="B627" s="18" t="s">
        <v>53</v>
      </c>
      <c r="C627" s="18" t="s">
        <v>1255</v>
      </c>
      <c r="D627" s="18" t="s">
        <v>93</v>
      </c>
      <c r="E627" s="19" t="s">
        <v>1276</v>
      </c>
      <c r="F627" s="18" t="s">
        <v>2624</v>
      </c>
      <c r="G627" s="18" t="n">
        <v>1</v>
      </c>
      <c r="H627" s="18" t="s">
        <v>2625</v>
      </c>
      <c r="I627" s="19"/>
      <c r="J627" s="18"/>
    </row>
    <row r="628" customFormat="false" ht="15" hidden="false" customHeight="false" outlineLevel="0" collapsed="false">
      <c r="A628" s="18" t="s">
        <v>1277</v>
      </c>
      <c r="B628" s="18" t="s">
        <v>53</v>
      </c>
      <c r="C628" s="18" t="s">
        <v>1255</v>
      </c>
      <c r="D628" s="18" t="s">
        <v>93</v>
      </c>
      <c r="E628" s="19" t="s">
        <v>1278</v>
      </c>
      <c r="F628" s="18" t="s">
        <v>2627</v>
      </c>
      <c r="G628" s="18" t="n">
        <v>0.4</v>
      </c>
      <c r="H628" s="18" t="s">
        <v>2625</v>
      </c>
      <c r="I628" s="19" t="s">
        <v>2628</v>
      </c>
      <c r="J628" s="18"/>
    </row>
    <row r="629" customFormat="false" ht="15" hidden="false" customHeight="false" outlineLevel="0" collapsed="false">
      <c r="A629" s="18" t="s">
        <v>1279</v>
      </c>
      <c r="B629" s="18" t="s">
        <v>53</v>
      </c>
      <c r="C629" s="18" t="s">
        <v>1255</v>
      </c>
      <c r="D629" s="18" t="s">
        <v>93</v>
      </c>
      <c r="E629" s="19" t="s">
        <v>1280</v>
      </c>
      <c r="F629" s="18" t="s">
        <v>2624</v>
      </c>
      <c r="G629" s="18" t="n">
        <v>1</v>
      </c>
      <c r="H629" s="18" t="s">
        <v>2625</v>
      </c>
      <c r="I629" s="19"/>
      <c r="J629" s="18"/>
    </row>
    <row r="630" customFormat="false" ht="15" hidden="false" customHeight="false" outlineLevel="0" collapsed="false">
      <c r="A630" s="18" t="s">
        <v>1281</v>
      </c>
      <c r="B630" s="18" t="s">
        <v>53</v>
      </c>
      <c r="C630" s="18" t="s">
        <v>1255</v>
      </c>
      <c r="D630" s="18" t="s">
        <v>93</v>
      </c>
      <c r="E630" s="19" t="s">
        <v>539</v>
      </c>
      <c r="F630" s="18" t="s">
        <v>2627</v>
      </c>
      <c r="G630" s="18" t="n">
        <v>0</v>
      </c>
      <c r="H630" s="18"/>
      <c r="I630" s="19" t="s">
        <v>2628</v>
      </c>
      <c r="J630" s="18"/>
    </row>
    <row r="631" customFormat="false" ht="15" hidden="false" customHeight="false" outlineLevel="0" collapsed="false">
      <c r="A631" s="18" t="s">
        <v>1282</v>
      </c>
      <c r="B631" s="18" t="s">
        <v>53</v>
      </c>
      <c r="C631" s="18" t="s">
        <v>1255</v>
      </c>
      <c r="D631" s="18" t="s">
        <v>93</v>
      </c>
      <c r="E631" s="19" t="s">
        <v>759</v>
      </c>
      <c r="F631" s="18" t="s">
        <v>2627</v>
      </c>
      <c r="G631" s="18" t="n">
        <v>0.17</v>
      </c>
      <c r="H631" s="18"/>
      <c r="I631" s="19" t="s">
        <v>2628</v>
      </c>
      <c r="J631" s="18"/>
    </row>
    <row r="632" customFormat="false" ht="15" hidden="false" customHeight="false" outlineLevel="0" collapsed="false">
      <c r="A632" s="18" t="s">
        <v>1283</v>
      </c>
      <c r="B632" s="18" t="s">
        <v>53</v>
      </c>
      <c r="C632" s="18" t="s">
        <v>1255</v>
      </c>
      <c r="D632" s="18" t="s">
        <v>93</v>
      </c>
      <c r="E632" s="19" t="s">
        <v>1284</v>
      </c>
      <c r="F632" s="18" t="s">
        <v>2627</v>
      </c>
      <c r="G632" s="18" t="n">
        <v>0</v>
      </c>
      <c r="H632" s="18"/>
      <c r="I632" s="19" t="s">
        <v>2628</v>
      </c>
      <c r="J632" s="18"/>
    </row>
    <row r="633" customFormat="false" ht="22.35" hidden="false" customHeight="false" outlineLevel="0" collapsed="false">
      <c r="A633" s="18" t="s">
        <v>1285</v>
      </c>
      <c r="B633" s="18" t="s">
        <v>53</v>
      </c>
      <c r="C633" s="18" t="s">
        <v>1255</v>
      </c>
      <c r="D633" s="18" t="s">
        <v>93</v>
      </c>
      <c r="E633" s="19" t="s">
        <v>1286</v>
      </c>
      <c r="F633" s="18" t="s">
        <v>2627</v>
      </c>
      <c r="G633" s="18" t="n">
        <v>0.15</v>
      </c>
      <c r="H633" s="18"/>
      <c r="I633" s="19" t="s">
        <v>2628</v>
      </c>
      <c r="J633" s="18"/>
    </row>
    <row r="634" customFormat="false" ht="22.35" hidden="false" customHeight="false" outlineLevel="0" collapsed="false">
      <c r="A634" s="18" t="s">
        <v>1287</v>
      </c>
      <c r="B634" s="18" t="s">
        <v>53</v>
      </c>
      <c r="C634" s="18" t="s">
        <v>1255</v>
      </c>
      <c r="D634" s="18" t="s">
        <v>93</v>
      </c>
      <c r="E634" s="19" t="s">
        <v>1288</v>
      </c>
      <c r="F634" s="18" t="s">
        <v>2627</v>
      </c>
      <c r="G634" s="18" t="n">
        <v>0.16</v>
      </c>
      <c r="H634" s="18"/>
      <c r="I634" s="19" t="s">
        <v>2628</v>
      </c>
      <c r="J634" s="18"/>
    </row>
    <row r="635" customFormat="false" ht="15" hidden="false" customHeight="false" outlineLevel="0" collapsed="false">
      <c r="A635" s="18" t="s">
        <v>1289</v>
      </c>
      <c r="B635" s="18" t="s">
        <v>53</v>
      </c>
      <c r="C635" s="18" t="s">
        <v>1255</v>
      </c>
      <c r="D635" s="18" t="s">
        <v>93</v>
      </c>
      <c r="E635" s="19" t="s">
        <v>1290</v>
      </c>
      <c r="F635" s="18" t="s">
        <v>2627</v>
      </c>
      <c r="G635" s="18" t="n">
        <v>0.67</v>
      </c>
      <c r="H635" s="18" t="s">
        <v>2625</v>
      </c>
      <c r="I635" s="19" t="s">
        <v>2628</v>
      </c>
      <c r="J635" s="18"/>
    </row>
    <row r="636" customFormat="false" ht="22.35" hidden="false" customHeight="false" outlineLevel="0" collapsed="false">
      <c r="A636" s="18" t="s">
        <v>1291</v>
      </c>
      <c r="B636" s="18" t="s">
        <v>53</v>
      </c>
      <c r="C636" s="18" t="s">
        <v>1255</v>
      </c>
      <c r="D636" s="18" t="s">
        <v>93</v>
      </c>
      <c r="E636" s="19" t="s">
        <v>1292</v>
      </c>
      <c r="F636" s="18" t="s">
        <v>2627</v>
      </c>
      <c r="G636" s="18" t="n">
        <v>0.29</v>
      </c>
      <c r="H636" s="18"/>
      <c r="I636" s="19" t="s">
        <v>2628</v>
      </c>
      <c r="J636" s="18"/>
    </row>
    <row r="637" customFormat="false" ht="15" hidden="false" customHeight="false" outlineLevel="0" collapsed="false">
      <c r="A637" s="18" t="s">
        <v>1293</v>
      </c>
      <c r="B637" s="18" t="s">
        <v>53</v>
      </c>
      <c r="C637" s="18" t="s">
        <v>1255</v>
      </c>
      <c r="D637" s="18" t="s">
        <v>93</v>
      </c>
      <c r="E637" s="19" t="s">
        <v>301</v>
      </c>
      <c r="F637" s="18" t="s">
        <v>2627</v>
      </c>
      <c r="G637" s="18" t="n">
        <v>0.25</v>
      </c>
      <c r="H637" s="18"/>
      <c r="I637" s="19" t="s">
        <v>2628</v>
      </c>
      <c r="J637" s="18"/>
    </row>
    <row r="638" customFormat="false" ht="15" hidden="false" customHeight="false" outlineLevel="0" collapsed="false">
      <c r="A638" s="18" t="s">
        <v>1294</v>
      </c>
      <c r="B638" s="18" t="s">
        <v>53</v>
      </c>
      <c r="C638" s="18" t="s">
        <v>1255</v>
      </c>
      <c r="D638" s="18" t="s">
        <v>93</v>
      </c>
      <c r="E638" s="19" t="s">
        <v>1295</v>
      </c>
      <c r="F638" s="18" t="s">
        <v>2627</v>
      </c>
      <c r="G638" s="18" t="n">
        <v>0.29</v>
      </c>
      <c r="H638" s="18"/>
      <c r="I638" s="19" t="s">
        <v>2628</v>
      </c>
      <c r="J638" s="18"/>
    </row>
    <row r="639" customFormat="false" ht="15" hidden="false" customHeight="false" outlineLevel="0" collapsed="false">
      <c r="A639" s="18" t="s">
        <v>1296</v>
      </c>
      <c r="B639" s="18" t="s">
        <v>53</v>
      </c>
      <c r="C639" s="18" t="s">
        <v>1255</v>
      </c>
      <c r="D639" s="18" t="s">
        <v>93</v>
      </c>
      <c r="E639" s="19" t="s">
        <v>1297</v>
      </c>
      <c r="F639" s="18" t="s">
        <v>2627</v>
      </c>
      <c r="G639" s="18" t="n">
        <v>0</v>
      </c>
      <c r="H639" s="18"/>
      <c r="I639" s="19" t="s">
        <v>2628</v>
      </c>
      <c r="J639" s="18"/>
    </row>
    <row r="640" customFormat="false" ht="15" hidden="false" customHeight="false" outlineLevel="0" collapsed="false">
      <c r="A640" s="18" t="s">
        <v>1298</v>
      </c>
      <c r="B640" s="18" t="s">
        <v>53</v>
      </c>
      <c r="C640" s="18" t="s">
        <v>1255</v>
      </c>
      <c r="D640" s="18" t="s">
        <v>93</v>
      </c>
      <c r="E640" s="19" t="s">
        <v>1299</v>
      </c>
      <c r="F640" s="18" t="s">
        <v>2627</v>
      </c>
      <c r="G640" s="18" t="n">
        <v>0.14</v>
      </c>
      <c r="H640" s="18"/>
      <c r="I640" s="19" t="s">
        <v>2628</v>
      </c>
      <c r="J640" s="18"/>
    </row>
    <row r="641" customFormat="false" ht="15" hidden="false" customHeight="false" outlineLevel="0" collapsed="false">
      <c r="A641" s="18" t="s">
        <v>1300</v>
      </c>
      <c r="B641" s="18" t="s">
        <v>53</v>
      </c>
      <c r="C641" s="18" t="s">
        <v>1255</v>
      </c>
      <c r="D641" s="18" t="s">
        <v>93</v>
      </c>
      <c r="E641" s="19" t="s">
        <v>1301</v>
      </c>
      <c r="F641" s="18" t="s">
        <v>2627</v>
      </c>
      <c r="G641" s="18" t="n">
        <v>0.43</v>
      </c>
      <c r="H641" s="18" t="s">
        <v>2625</v>
      </c>
      <c r="I641" s="19" t="s">
        <v>2628</v>
      </c>
      <c r="J641" s="18"/>
    </row>
    <row r="642" customFormat="false" ht="15" hidden="false" customHeight="false" outlineLevel="0" collapsed="false">
      <c r="A642" s="18" t="s">
        <v>1302</v>
      </c>
      <c r="B642" s="18" t="s">
        <v>53</v>
      </c>
      <c r="C642" s="18" t="s">
        <v>1255</v>
      </c>
      <c r="D642" s="18" t="s">
        <v>93</v>
      </c>
      <c r="E642" s="19" t="s">
        <v>1303</v>
      </c>
      <c r="F642" s="18" t="s">
        <v>2627</v>
      </c>
      <c r="G642" s="18" t="n">
        <v>0</v>
      </c>
      <c r="H642" s="18"/>
      <c r="I642" s="19" t="s">
        <v>2628</v>
      </c>
      <c r="J642" s="18"/>
    </row>
    <row r="643" customFormat="false" ht="22.35" hidden="false" customHeight="false" outlineLevel="0" collapsed="false">
      <c r="A643" s="18" t="s">
        <v>1304</v>
      </c>
      <c r="B643" s="18" t="s">
        <v>53</v>
      </c>
      <c r="C643" s="18" t="s">
        <v>1255</v>
      </c>
      <c r="D643" s="18" t="s">
        <v>93</v>
      </c>
      <c r="E643" s="19" t="s">
        <v>1305</v>
      </c>
      <c r="F643" s="18" t="s">
        <v>2627</v>
      </c>
      <c r="G643" s="18" t="n">
        <v>0.12</v>
      </c>
      <c r="H643" s="18"/>
      <c r="I643" s="19" t="s">
        <v>2628</v>
      </c>
      <c r="J643" s="18"/>
    </row>
    <row r="644" customFormat="false" ht="15" hidden="false" customHeight="false" outlineLevel="0" collapsed="false">
      <c r="A644" s="18" t="s">
        <v>1306</v>
      </c>
      <c r="B644" s="18" t="s">
        <v>53</v>
      </c>
      <c r="C644" s="18" t="s">
        <v>1255</v>
      </c>
      <c r="D644" s="18" t="s">
        <v>93</v>
      </c>
      <c r="E644" s="19" t="s">
        <v>558</v>
      </c>
      <c r="F644" s="18" t="s">
        <v>2627</v>
      </c>
      <c r="G644" s="18" t="n">
        <v>0.62</v>
      </c>
      <c r="H644" s="18" t="s">
        <v>2625</v>
      </c>
      <c r="I644" s="19" t="s">
        <v>2628</v>
      </c>
      <c r="J644" s="18"/>
    </row>
    <row r="645" customFormat="false" ht="15" hidden="false" customHeight="false" outlineLevel="0" collapsed="false">
      <c r="A645" s="18" t="s">
        <v>1307</v>
      </c>
      <c r="B645" s="18" t="s">
        <v>53</v>
      </c>
      <c r="C645" s="18" t="s">
        <v>1255</v>
      </c>
      <c r="D645" s="18" t="s">
        <v>93</v>
      </c>
      <c r="E645" s="19" t="s">
        <v>311</v>
      </c>
      <c r="F645" s="18" t="s">
        <v>2627</v>
      </c>
      <c r="G645" s="18" t="n">
        <v>0</v>
      </c>
      <c r="H645" s="18"/>
      <c r="I645" s="19" t="s">
        <v>2628</v>
      </c>
      <c r="J645" s="18"/>
    </row>
    <row r="646" customFormat="false" ht="15" hidden="false" customHeight="false" outlineLevel="0" collapsed="false">
      <c r="A646" s="18" t="s">
        <v>1308</v>
      </c>
      <c r="B646" s="18" t="s">
        <v>53</v>
      </c>
      <c r="C646" s="18" t="s">
        <v>1255</v>
      </c>
      <c r="D646" s="18" t="s">
        <v>93</v>
      </c>
      <c r="E646" s="19" t="s">
        <v>1309</v>
      </c>
      <c r="F646" s="18" t="s">
        <v>2627</v>
      </c>
      <c r="G646" s="18" t="n">
        <v>0</v>
      </c>
      <c r="H646" s="18"/>
      <c r="I646" s="19" t="s">
        <v>2628</v>
      </c>
      <c r="J646" s="18"/>
    </row>
    <row r="647" customFormat="false" ht="15" hidden="false" customHeight="false" outlineLevel="0" collapsed="false">
      <c r="A647" s="18" t="s">
        <v>1310</v>
      </c>
      <c r="B647" s="18" t="s">
        <v>53</v>
      </c>
      <c r="C647" s="18" t="s">
        <v>1255</v>
      </c>
      <c r="D647" s="18" t="s">
        <v>93</v>
      </c>
      <c r="E647" s="19" t="s">
        <v>1311</v>
      </c>
      <c r="F647" s="18" t="s">
        <v>2624</v>
      </c>
      <c r="G647" s="18" t="n">
        <v>1</v>
      </c>
      <c r="H647" s="18" t="s">
        <v>2625</v>
      </c>
      <c r="I647" s="19"/>
      <c r="J647" s="18"/>
    </row>
    <row r="648" customFormat="false" ht="15" hidden="false" customHeight="false" outlineLevel="0" collapsed="false">
      <c r="A648" s="18" t="s">
        <v>1312</v>
      </c>
      <c r="B648" s="18" t="s">
        <v>53</v>
      </c>
      <c r="C648" s="18" t="s">
        <v>1255</v>
      </c>
      <c r="D648" s="18" t="s">
        <v>93</v>
      </c>
      <c r="E648" s="19" t="s">
        <v>1313</v>
      </c>
      <c r="F648" s="18" t="s">
        <v>2624</v>
      </c>
      <c r="G648" s="18" t="n">
        <v>1</v>
      </c>
      <c r="H648" s="18" t="s">
        <v>2625</v>
      </c>
      <c r="I648" s="19"/>
      <c r="J648" s="18"/>
    </row>
    <row r="649" customFormat="false" ht="22.35" hidden="false" customHeight="false" outlineLevel="0" collapsed="false">
      <c r="A649" s="18" t="s">
        <v>1314</v>
      </c>
      <c r="B649" s="18" t="s">
        <v>53</v>
      </c>
      <c r="C649" s="18" t="s">
        <v>1255</v>
      </c>
      <c r="D649" s="18" t="s">
        <v>93</v>
      </c>
      <c r="E649" s="19" t="s">
        <v>1315</v>
      </c>
      <c r="F649" s="18" t="s">
        <v>2627</v>
      </c>
      <c r="G649" s="18" t="n">
        <v>0.17</v>
      </c>
      <c r="H649" s="18"/>
      <c r="I649" s="19" t="s">
        <v>2628</v>
      </c>
      <c r="J649" s="18"/>
    </row>
    <row r="650" customFormat="false" ht="15" hidden="false" customHeight="false" outlineLevel="0" collapsed="false">
      <c r="A650" s="18" t="s">
        <v>1316</v>
      </c>
      <c r="B650" s="18" t="s">
        <v>53</v>
      </c>
      <c r="C650" s="18" t="s">
        <v>1255</v>
      </c>
      <c r="D650" s="18" t="s">
        <v>93</v>
      </c>
      <c r="E650" s="19" t="s">
        <v>1299</v>
      </c>
      <c r="F650" s="18" t="s">
        <v>2627</v>
      </c>
      <c r="G650" s="18" t="n">
        <v>0.14</v>
      </c>
      <c r="H650" s="18"/>
      <c r="I650" s="19" t="s">
        <v>2628</v>
      </c>
      <c r="J650" s="18"/>
    </row>
    <row r="651" customFormat="false" ht="15" hidden="false" customHeight="false" outlineLevel="0" collapsed="false">
      <c r="A651" s="18" t="s">
        <v>1317</v>
      </c>
      <c r="B651" s="18" t="s">
        <v>53</v>
      </c>
      <c r="C651" s="18" t="s">
        <v>1255</v>
      </c>
      <c r="D651" s="18" t="s">
        <v>93</v>
      </c>
      <c r="E651" s="19" t="s">
        <v>1318</v>
      </c>
      <c r="F651" s="18" t="s">
        <v>2624</v>
      </c>
      <c r="G651" s="18" t="n">
        <v>1</v>
      </c>
      <c r="H651" s="18" t="s">
        <v>2625</v>
      </c>
      <c r="I651" s="19"/>
      <c r="J651" s="18"/>
    </row>
    <row r="652" customFormat="false" ht="15" hidden="false" customHeight="false" outlineLevel="0" collapsed="false">
      <c r="A652" s="18" t="s">
        <v>1319</v>
      </c>
      <c r="B652" s="18" t="s">
        <v>53</v>
      </c>
      <c r="C652" s="18" t="s">
        <v>1255</v>
      </c>
      <c r="D652" s="18" t="s">
        <v>93</v>
      </c>
      <c r="E652" s="19" t="s">
        <v>1320</v>
      </c>
      <c r="F652" s="18" t="s">
        <v>2627</v>
      </c>
      <c r="G652" s="18" t="n">
        <v>0.18</v>
      </c>
      <c r="H652" s="18"/>
      <c r="I652" s="19" t="s">
        <v>2628</v>
      </c>
      <c r="J652" s="18"/>
    </row>
    <row r="653" customFormat="false" ht="22.35" hidden="false" customHeight="false" outlineLevel="0" collapsed="false">
      <c r="A653" s="18" t="s">
        <v>1321</v>
      </c>
      <c r="B653" s="18" t="s">
        <v>53</v>
      </c>
      <c r="C653" s="18" t="s">
        <v>1255</v>
      </c>
      <c r="D653" s="18" t="s">
        <v>93</v>
      </c>
      <c r="E653" s="19" t="s">
        <v>1322</v>
      </c>
      <c r="F653" s="18" t="s">
        <v>2627</v>
      </c>
      <c r="G653" s="18" t="n">
        <v>0.1</v>
      </c>
      <c r="H653" s="18"/>
      <c r="I653" s="19" t="s">
        <v>2628</v>
      </c>
      <c r="J653" s="18"/>
    </row>
    <row r="654" customFormat="false" ht="15" hidden="false" customHeight="false" outlineLevel="0" collapsed="false">
      <c r="A654" s="18" t="s">
        <v>1323</v>
      </c>
      <c r="B654" s="18" t="s">
        <v>53</v>
      </c>
      <c r="C654" s="18" t="s">
        <v>1255</v>
      </c>
      <c r="D654" s="18" t="s">
        <v>93</v>
      </c>
      <c r="E654" s="19" t="s">
        <v>1324</v>
      </c>
      <c r="F654" s="18" t="s">
        <v>2624</v>
      </c>
      <c r="G654" s="18" t="n">
        <v>1</v>
      </c>
      <c r="H654" s="18" t="s">
        <v>2625</v>
      </c>
      <c r="I654" s="19"/>
      <c r="J654" s="18"/>
    </row>
    <row r="655" customFormat="false" ht="15" hidden="false" customHeight="false" outlineLevel="0" collapsed="false">
      <c r="A655" s="18" t="s">
        <v>1325</v>
      </c>
      <c r="B655" s="18" t="s">
        <v>53</v>
      </c>
      <c r="C655" s="18" t="s">
        <v>1255</v>
      </c>
      <c r="D655" s="18" t="s">
        <v>93</v>
      </c>
      <c r="E655" s="19" t="s">
        <v>1326</v>
      </c>
      <c r="F655" s="18" t="s">
        <v>2627</v>
      </c>
      <c r="G655" s="18" t="n">
        <v>0.25</v>
      </c>
      <c r="H655" s="18"/>
      <c r="I655" s="19" t="s">
        <v>2628</v>
      </c>
      <c r="J655" s="18"/>
    </row>
    <row r="656" customFormat="false" ht="15" hidden="false" customHeight="false" outlineLevel="0" collapsed="false">
      <c r="A656" s="18" t="s">
        <v>1327</v>
      </c>
      <c r="B656" s="18" t="s">
        <v>53</v>
      </c>
      <c r="C656" s="18" t="s">
        <v>1255</v>
      </c>
      <c r="D656" s="18" t="s">
        <v>93</v>
      </c>
      <c r="E656" s="19" t="s">
        <v>1328</v>
      </c>
      <c r="F656" s="18" t="s">
        <v>2627</v>
      </c>
      <c r="G656" s="18" t="n">
        <v>0</v>
      </c>
      <c r="H656" s="18"/>
      <c r="I656" s="19" t="s">
        <v>2628</v>
      </c>
      <c r="J656" s="18"/>
    </row>
    <row r="657" customFormat="false" ht="22.35" hidden="false" customHeight="false" outlineLevel="0" collapsed="false">
      <c r="A657" s="18" t="s">
        <v>1329</v>
      </c>
      <c r="B657" s="18" t="s">
        <v>53</v>
      </c>
      <c r="C657" s="18" t="s">
        <v>1255</v>
      </c>
      <c r="D657" s="18" t="s">
        <v>93</v>
      </c>
      <c r="E657" s="19" t="s">
        <v>1330</v>
      </c>
      <c r="F657" s="18" t="s">
        <v>2627</v>
      </c>
      <c r="G657" s="18" t="n">
        <v>0.2</v>
      </c>
      <c r="H657" s="18"/>
      <c r="I657" s="19" t="s">
        <v>2628</v>
      </c>
      <c r="J657" s="18"/>
    </row>
    <row r="658" customFormat="false" ht="22.35" hidden="false" customHeight="false" outlineLevel="0" collapsed="false">
      <c r="A658" s="18" t="s">
        <v>1331</v>
      </c>
      <c r="B658" s="18" t="s">
        <v>53</v>
      </c>
      <c r="C658" s="18" t="s">
        <v>1255</v>
      </c>
      <c r="D658" s="18" t="s">
        <v>93</v>
      </c>
      <c r="E658" s="19" t="s">
        <v>1332</v>
      </c>
      <c r="F658" s="18" t="s">
        <v>2627</v>
      </c>
      <c r="G658" s="18" t="n">
        <v>0.14</v>
      </c>
      <c r="H658" s="18"/>
      <c r="I658" s="19" t="s">
        <v>2628</v>
      </c>
      <c r="J658" s="18"/>
    </row>
    <row r="659" customFormat="false" ht="22.35" hidden="false" customHeight="false" outlineLevel="0" collapsed="false">
      <c r="A659" s="18" t="s">
        <v>1333</v>
      </c>
      <c r="B659" s="18" t="s">
        <v>53</v>
      </c>
      <c r="C659" s="18" t="s">
        <v>1255</v>
      </c>
      <c r="D659" s="18" t="s">
        <v>93</v>
      </c>
      <c r="E659" s="19" t="s">
        <v>1334</v>
      </c>
      <c r="F659" s="18" t="s">
        <v>2627</v>
      </c>
      <c r="G659" s="18" t="n">
        <v>0.15</v>
      </c>
      <c r="H659" s="18"/>
      <c r="I659" s="19" t="s">
        <v>2628</v>
      </c>
      <c r="J659" s="18"/>
    </row>
    <row r="660" customFormat="false" ht="22.35" hidden="false" customHeight="false" outlineLevel="0" collapsed="false">
      <c r="A660" s="18" t="s">
        <v>1335</v>
      </c>
      <c r="B660" s="18" t="s">
        <v>53</v>
      </c>
      <c r="C660" s="18" t="s">
        <v>1255</v>
      </c>
      <c r="D660" s="18" t="s">
        <v>93</v>
      </c>
      <c r="E660" s="19" t="s">
        <v>1336</v>
      </c>
      <c r="F660" s="18" t="s">
        <v>2627</v>
      </c>
      <c r="G660" s="18" t="n">
        <v>0.1</v>
      </c>
      <c r="H660" s="18"/>
      <c r="I660" s="19" t="s">
        <v>2628</v>
      </c>
      <c r="J660" s="18"/>
    </row>
    <row r="661" customFormat="false" ht="15" hidden="false" customHeight="false" outlineLevel="0" collapsed="false">
      <c r="A661" s="18" t="s">
        <v>1337</v>
      </c>
      <c r="B661" s="18" t="s">
        <v>53</v>
      </c>
      <c r="C661" s="18" t="s">
        <v>1255</v>
      </c>
      <c r="D661" s="18" t="s">
        <v>93</v>
      </c>
      <c r="E661" s="19" t="s">
        <v>301</v>
      </c>
      <c r="F661" s="18" t="s">
        <v>2627</v>
      </c>
      <c r="G661" s="18" t="n">
        <v>0.25</v>
      </c>
      <c r="H661" s="18"/>
      <c r="I661" s="19" t="s">
        <v>2628</v>
      </c>
      <c r="J661" s="18"/>
    </row>
    <row r="662" customFormat="false" ht="15" hidden="false" customHeight="false" outlineLevel="0" collapsed="false">
      <c r="A662" s="18" t="s">
        <v>1338</v>
      </c>
      <c r="B662" s="18" t="s">
        <v>53</v>
      </c>
      <c r="C662" s="18" t="s">
        <v>1255</v>
      </c>
      <c r="D662" s="18" t="s">
        <v>93</v>
      </c>
      <c r="E662" s="19" t="s">
        <v>1339</v>
      </c>
      <c r="F662" s="18" t="s">
        <v>2627</v>
      </c>
      <c r="G662" s="18" t="n">
        <v>0.14</v>
      </c>
      <c r="H662" s="18"/>
      <c r="I662" s="19" t="s">
        <v>2628</v>
      </c>
      <c r="J662" s="18"/>
    </row>
    <row r="663" customFormat="false" ht="15" hidden="false" customHeight="false" outlineLevel="0" collapsed="false">
      <c r="A663" s="18" t="s">
        <v>1340</v>
      </c>
      <c r="B663" s="18" t="s">
        <v>53</v>
      </c>
      <c r="C663" s="18" t="s">
        <v>1255</v>
      </c>
      <c r="D663" s="18" t="s">
        <v>93</v>
      </c>
      <c r="E663" s="19" t="s">
        <v>1341</v>
      </c>
      <c r="F663" s="18" t="s">
        <v>2627</v>
      </c>
      <c r="G663" s="18" t="n">
        <v>0.18</v>
      </c>
      <c r="H663" s="18"/>
      <c r="I663" s="19" t="s">
        <v>2628</v>
      </c>
      <c r="J663" s="18"/>
    </row>
    <row r="664" customFormat="false" ht="15" hidden="false" customHeight="false" outlineLevel="0" collapsed="false">
      <c r="A664" s="18" t="s">
        <v>1342</v>
      </c>
      <c r="B664" s="18" t="s">
        <v>53</v>
      </c>
      <c r="C664" s="18" t="s">
        <v>1255</v>
      </c>
      <c r="D664" s="18" t="s">
        <v>93</v>
      </c>
      <c r="E664" s="19" t="s">
        <v>1343</v>
      </c>
      <c r="F664" s="18" t="s">
        <v>2627</v>
      </c>
      <c r="G664" s="18" t="n">
        <v>0</v>
      </c>
      <c r="H664" s="18"/>
      <c r="I664" s="19" t="s">
        <v>2628</v>
      </c>
      <c r="J664" s="18"/>
    </row>
    <row r="665" customFormat="false" ht="22.35" hidden="false" customHeight="false" outlineLevel="0" collapsed="false">
      <c r="A665" s="18" t="s">
        <v>1344</v>
      </c>
      <c r="B665" s="18" t="s">
        <v>53</v>
      </c>
      <c r="C665" s="18" t="s">
        <v>1255</v>
      </c>
      <c r="D665" s="18" t="s">
        <v>93</v>
      </c>
      <c r="E665" s="19" t="s">
        <v>1345</v>
      </c>
      <c r="F665" s="18" t="s">
        <v>2627</v>
      </c>
      <c r="G665" s="18" t="n">
        <v>0</v>
      </c>
      <c r="H665" s="18"/>
      <c r="I665" s="19" t="s">
        <v>2628</v>
      </c>
      <c r="J665" s="18"/>
    </row>
    <row r="666" customFormat="false" ht="15" hidden="false" customHeight="false" outlineLevel="0" collapsed="false">
      <c r="A666" s="18" t="s">
        <v>1346</v>
      </c>
      <c r="B666" s="18" t="s">
        <v>53</v>
      </c>
      <c r="C666" s="18" t="s">
        <v>1255</v>
      </c>
      <c r="D666" s="18" t="s">
        <v>93</v>
      </c>
      <c r="E666" s="19" t="s">
        <v>558</v>
      </c>
      <c r="F666" s="18" t="s">
        <v>2627</v>
      </c>
      <c r="G666" s="18" t="n">
        <v>0.62</v>
      </c>
      <c r="H666" s="18" t="s">
        <v>2625</v>
      </c>
      <c r="I666" s="19" t="s">
        <v>2628</v>
      </c>
      <c r="J666" s="18"/>
    </row>
    <row r="667" customFormat="false" ht="15" hidden="false" customHeight="false" outlineLevel="0" collapsed="false">
      <c r="A667" s="18" t="s">
        <v>1347</v>
      </c>
      <c r="B667" s="18" t="s">
        <v>53</v>
      </c>
      <c r="C667" s="18" t="s">
        <v>1255</v>
      </c>
      <c r="D667" s="18" t="s">
        <v>93</v>
      </c>
      <c r="E667" s="19" t="s">
        <v>311</v>
      </c>
      <c r="F667" s="18" t="s">
        <v>2627</v>
      </c>
      <c r="G667" s="18" t="n">
        <v>0</v>
      </c>
      <c r="H667" s="18"/>
      <c r="I667" s="19" t="s">
        <v>2628</v>
      </c>
      <c r="J667" s="18"/>
    </row>
    <row r="668" customFormat="false" ht="15" hidden="false" customHeight="false" outlineLevel="0" collapsed="false">
      <c r="A668" s="18" t="s">
        <v>1348</v>
      </c>
      <c r="B668" s="18" t="s">
        <v>53</v>
      </c>
      <c r="C668" s="18" t="s">
        <v>1255</v>
      </c>
      <c r="D668" s="18" t="s">
        <v>93</v>
      </c>
      <c r="E668" s="19" t="s">
        <v>1349</v>
      </c>
      <c r="F668" s="18" t="s">
        <v>2627</v>
      </c>
      <c r="G668" s="18" t="n">
        <v>0.09</v>
      </c>
      <c r="H668" s="18"/>
      <c r="I668" s="19" t="s">
        <v>2628</v>
      </c>
      <c r="J668" s="18"/>
    </row>
    <row r="669" customFormat="false" ht="22.35" hidden="false" customHeight="false" outlineLevel="0" collapsed="false">
      <c r="A669" s="18" t="s">
        <v>1350</v>
      </c>
      <c r="B669" s="18" t="s">
        <v>53</v>
      </c>
      <c r="C669" s="18" t="s">
        <v>1255</v>
      </c>
      <c r="D669" s="18" t="s">
        <v>93</v>
      </c>
      <c r="E669" s="19" t="s">
        <v>1351</v>
      </c>
      <c r="F669" s="18" t="s">
        <v>2627</v>
      </c>
      <c r="G669" s="18" t="n">
        <v>0.14</v>
      </c>
      <c r="H669" s="18"/>
      <c r="I669" s="19" t="s">
        <v>2628</v>
      </c>
      <c r="J669" s="18"/>
    </row>
    <row r="670" customFormat="false" ht="43.25" hidden="false" customHeight="false" outlineLevel="0" collapsed="false">
      <c r="A670" s="18" t="s">
        <v>1352</v>
      </c>
      <c r="B670" s="18" t="s">
        <v>53</v>
      </c>
      <c r="C670" s="18" t="s">
        <v>1255</v>
      </c>
      <c r="D670" s="18" t="s">
        <v>93</v>
      </c>
      <c r="E670" s="19" t="s">
        <v>1353</v>
      </c>
      <c r="F670" s="18" t="s">
        <v>2627</v>
      </c>
      <c r="G670" s="18" t="n">
        <v>0.04</v>
      </c>
      <c r="H670" s="18"/>
      <c r="I670" s="19" t="s">
        <v>2628</v>
      </c>
      <c r="J670" s="18"/>
    </row>
    <row r="671" customFormat="false" ht="32.8" hidden="false" customHeight="false" outlineLevel="0" collapsed="false">
      <c r="A671" s="18" t="s">
        <v>1354</v>
      </c>
      <c r="B671" s="18" t="s">
        <v>53</v>
      </c>
      <c r="C671" s="18" t="s">
        <v>1255</v>
      </c>
      <c r="D671" s="18" t="s">
        <v>93</v>
      </c>
      <c r="E671" s="19" t="s">
        <v>1355</v>
      </c>
      <c r="F671" s="18" t="s">
        <v>2627</v>
      </c>
      <c r="G671" s="18" t="n">
        <v>0.03</v>
      </c>
      <c r="H671" s="18"/>
      <c r="I671" s="19" t="s">
        <v>2628</v>
      </c>
      <c r="J671" s="18"/>
    </row>
    <row r="672" customFormat="false" ht="15" hidden="false" customHeight="false" outlineLevel="0" collapsed="false">
      <c r="A672" s="18" t="s">
        <v>1356</v>
      </c>
      <c r="B672" s="18" t="s">
        <v>53</v>
      </c>
      <c r="C672" s="18" t="s">
        <v>1255</v>
      </c>
      <c r="D672" s="18" t="s">
        <v>93</v>
      </c>
      <c r="E672" s="19" t="s">
        <v>1357</v>
      </c>
      <c r="F672" s="18" t="s">
        <v>2627</v>
      </c>
      <c r="G672" s="18" t="n">
        <v>0.25</v>
      </c>
      <c r="H672" s="18"/>
      <c r="I672" s="19" t="s">
        <v>2628</v>
      </c>
      <c r="J672" s="18"/>
    </row>
    <row r="673" customFormat="false" ht="32.8" hidden="false" customHeight="false" outlineLevel="0" collapsed="false">
      <c r="A673" s="18" t="s">
        <v>1358</v>
      </c>
      <c r="B673" s="18" t="s">
        <v>53</v>
      </c>
      <c r="C673" s="18" t="s">
        <v>1255</v>
      </c>
      <c r="D673" s="18" t="s">
        <v>93</v>
      </c>
      <c r="E673" s="19" t="s">
        <v>1359</v>
      </c>
      <c r="F673" s="18" t="s">
        <v>2627</v>
      </c>
      <c r="G673" s="18" t="n">
        <v>0.06</v>
      </c>
      <c r="H673" s="18"/>
      <c r="I673" s="19" t="s">
        <v>2628</v>
      </c>
      <c r="J673" s="18"/>
    </row>
    <row r="674" customFormat="false" ht="22.35" hidden="false" customHeight="false" outlineLevel="0" collapsed="false">
      <c r="A674" s="18" t="s">
        <v>1360</v>
      </c>
      <c r="B674" s="18" t="s">
        <v>53</v>
      </c>
      <c r="C674" s="18" t="s">
        <v>1255</v>
      </c>
      <c r="D674" s="18" t="s">
        <v>93</v>
      </c>
      <c r="E674" s="19" t="s">
        <v>1361</v>
      </c>
      <c r="F674" s="18" t="s">
        <v>2627</v>
      </c>
      <c r="G674" s="18" t="n">
        <v>0.04</v>
      </c>
      <c r="H674" s="18"/>
      <c r="I674" s="19" t="s">
        <v>2628</v>
      </c>
      <c r="J674" s="18"/>
    </row>
    <row r="675" customFormat="false" ht="22.35" hidden="false" customHeight="false" outlineLevel="0" collapsed="false">
      <c r="A675" s="18" t="s">
        <v>1362</v>
      </c>
      <c r="B675" s="18" t="s">
        <v>53</v>
      </c>
      <c r="C675" s="18" t="s">
        <v>1255</v>
      </c>
      <c r="D675" s="18" t="s">
        <v>93</v>
      </c>
      <c r="E675" s="19" t="s">
        <v>1363</v>
      </c>
      <c r="F675" s="18" t="s">
        <v>2627</v>
      </c>
      <c r="G675" s="18" t="n">
        <v>0.68</v>
      </c>
      <c r="H675" s="18" t="s">
        <v>2625</v>
      </c>
      <c r="I675" s="19" t="s">
        <v>2628</v>
      </c>
      <c r="J675" s="18"/>
    </row>
    <row r="676" customFormat="false" ht="64.15" hidden="false" customHeight="false" outlineLevel="0" collapsed="false">
      <c r="A676" s="18" t="s">
        <v>1364</v>
      </c>
      <c r="B676" s="18" t="s">
        <v>53</v>
      </c>
      <c r="C676" s="18" t="s">
        <v>1255</v>
      </c>
      <c r="D676" s="18" t="s">
        <v>93</v>
      </c>
      <c r="E676" s="19" t="s">
        <v>1365</v>
      </c>
      <c r="F676" s="18" t="s">
        <v>2627</v>
      </c>
      <c r="G676" s="18" t="n">
        <v>0.13</v>
      </c>
      <c r="H676" s="18"/>
      <c r="I676" s="19" t="s">
        <v>2628</v>
      </c>
      <c r="J676" s="18"/>
    </row>
    <row r="677" customFormat="false" ht="22.35" hidden="false" customHeight="false" outlineLevel="0" collapsed="false">
      <c r="A677" s="18" t="s">
        <v>1366</v>
      </c>
      <c r="B677" s="18" t="s">
        <v>53</v>
      </c>
      <c r="C677" s="18" t="s">
        <v>1255</v>
      </c>
      <c r="D677" s="18" t="s">
        <v>84</v>
      </c>
      <c r="E677" s="19" t="s">
        <v>331</v>
      </c>
      <c r="F677" s="18" t="s">
        <v>2631</v>
      </c>
      <c r="G677" s="18" t="n">
        <v>0.17</v>
      </c>
      <c r="H677" s="18"/>
      <c r="I677" s="19" t="s">
        <v>2639</v>
      </c>
      <c r="J677" s="18"/>
    </row>
    <row r="678" customFormat="false" ht="22.35" hidden="false" customHeight="false" outlineLevel="0" collapsed="false">
      <c r="A678" s="18" t="s">
        <v>1367</v>
      </c>
      <c r="B678" s="18" t="s">
        <v>53</v>
      </c>
      <c r="C678" s="18" t="s">
        <v>1255</v>
      </c>
      <c r="D678" s="18" t="s">
        <v>84</v>
      </c>
      <c r="E678" s="19" t="s">
        <v>333</v>
      </c>
      <c r="F678" s="18" t="s">
        <v>2631</v>
      </c>
      <c r="G678" s="18" t="n">
        <v>0.21</v>
      </c>
      <c r="H678" s="18"/>
      <c r="I678" s="19" t="s">
        <v>2639</v>
      </c>
      <c r="J678" s="18"/>
    </row>
    <row r="679" customFormat="false" ht="22.35" hidden="false" customHeight="false" outlineLevel="0" collapsed="false">
      <c r="A679" s="18" t="s">
        <v>1368</v>
      </c>
      <c r="B679" s="18" t="s">
        <v>53</v>
      </c>
      <c r="C679" s="18" t="s">
        <v>1255</v>
      </c>
      <c r="D679" s="18" t="s">
        <v>84</v>
      </c>
      <c r="E679" s="19" t="s">
        <v>1369</v>
      </c>
      <c r="F679" s="18" t="s">
        <v>2631</v>
      </c>
      <c r="G679" s="18" t="n">
        <v>0.31</v>
      </c>
      <c r="H679" s="18" t="s">
        <v>2633</v>
      </c>
      <c r="I679" s="19" t="s">
        <v>2639</v>
      </c>
      <c r="J679" s="18"/>
    </row>
    <row r="680" customFormat="false" ht="22.35" hidden="false" customHeight="false" outlineLevel="0" collapsed="false">
      <c r="A680" s="18" t="s">
        <v>1370</v>
      </c>
      <c r="B680" s="18" t="s">
        <v>53</v>
      </c>
      <c r="C680" s="18" t="s">
        <v>1255</v>
      </c>
      <c r="D680" s="18" t="s">
        <v>84</v>
      </c>
      <c r="E680" s="19" t="s">
        <v>1371</v>
      </c>
      <c r="F680" s="18" t="s">
        <v>2631</v>
      </c>
      <c r="G680" s="18" t="n">
        <v>0</v>
      </c>
      <c r="H680" s="18"/>
      <c r="I680" s="19" t="s">
        <v>2639</v>
      </c>
      <c r="J680" s="18"/>
    </row>
    <row r="681" customFormat="false" ht="22.35" hidden="false" customHeight="false" outlineLevel="0" collapsed="false">
      <c r="A681" s="18" t="s">
        <v>1372</v>
      </c>
      <c r="B681" s="18" t="s">
        <v>53</v>
      </c>
      <c r="C681" s="18" t="s">
        <v>1255</v>
      </c>
      <c r="D681" s="18" t="s">
        <v>84</v>
      </c>
      <c r="E681" s="19" t="s">
        <v>795</v>
      </c>
      <c r="F681" s="18" t="s">
        <v>2631</v>
      </c>
      <c r="G681" s="18" t="n">
        <v>0.5</v>
      </c>
      <c r="H681" s="18" t="s">
        <v>2625</v>
      </c>
      <c r="I681" s="19" t="s">
        <v>2639</v>
      </c>
      <c r="J681" s="18"/>
    </row>
    <row r="682" customFormat="false" ht="22.35" hidden="false" customHeight="false" outlineLevel="0" collapsed="false">
      <c r="A682" s="18" t="s">
        <v>1373</v>
      </c>
      <c r="B682" s="18" t="s">
        <v>53</v>
      </c>
      <c r="C682" s="18" t="s">
        <v>1255</v>
      </c>
      <c r="D682" s="18" t="s">
        <v>84</v>
      </c>
      <c r="E682" s="19" t="s">
        <v>580</v>
      </c>
      <c r="F682" s="18" t="s">
        <v>2631</v>
      </c>
      <c r="G682" s="18" t="n">
        <v>0.25</v>
      </c>
      <c r="H682" s="18"/>
      <c r="I682" s="19" t="s">
        <v>2639</v>
      </c>
      <c r="J682" s="18"/>
    </row>
    <row r="683" customFormat="false" ht="15" hidden="false" customHeight="false" outlineLevel="0" collapsed="false">
      <c r="A683" s="18" t="s">
        <v>1374</v>
      </c>
      <c r="B683" s="18" t="s">
        <v>53</v>
      </c>
      <c r="C683" s="18" t="s">
        <v>1255</v>
      </c>
      <c r="D683" s="18" t="s">
        <v>158</v>
      </c>
      <c r="E683" s="19" t="s">
        <v>1375</v>
      </c>
      <c r="F683" s="18" t="s">
        <v>2624</v>
      </c>
      <c r="G683" s="18" t="n">
        <v>1</v>
      </c>
      <c r="H683" s="18" t="s">
        <v>2663</v>
      </c>
      <c r="I683" s="19"/>
      <c r="J683" s="18"/>
    </row>
    <row r="684" customFormat="false" ht="22.35" hidden="false" customHeight="false" outlineLevel="0" collapsed="false">
      <c r="A684" s="18" t="s">
        <v>1376</v>
      </c>
      <c r="B684" s="18" t="s">
        <v>53</v>
      </c>
      <c r="C684" s="18" t="s">
        <v>1255</v>
      </c>
      <c r="D684" s="18" t="s">
        <v>168</v>
      </c>
      <c r="E684" s="19" t="s">
        <v>167</v>
      </c>
      <c r="F684" s="18" t="s">
        <v>2631</v>
      </c>
      <c r="G684" s="18" t="n">
        <v>0</v>
      </c>
      <c r="H684" s="18"/>
      <c r="I684" s="19" t="s">
        <v>2632</v>
      </c>
      <c r="J684" s="18"/>
    </row>
    <row r="685" customFormat="false" ht="137.3" hidden="false" customHeight="false" outlineLevel="0" collapsed="false">
      <c r="A685" s="18" t="s">
        <v>1377</v>
      </c>
      <c r="B685" s="18" t="s">
        <v>53</v>
      </c>
      <c r="C685" s="18" t="s">
        <v>1255</v>
      </c>
      <c r="D685" s="18" t="s">
        <v>175</v>
      </c>
      <c r="E685" s="19" t="s">
        <v>1378</v>
      </c>
      <c r="F685" s="18" t="s">
        <v>2624</v>
      </c>
      <c r="G685" s="18" t="n">
        <v>1</v>
      </c>
      <c r="H685" s="18" t="s">
        <v>2625</v>
      </c>
      <c r="I685" s="19"/>
      <c r="J685" s="18"/>
    </row>
    <row r="686" customFormat="false" ht="95.5" hidden="false" customHeight="false" outlineLevel="0" collapsed="false">
      <c r="A686" s="18" t="s">
        <v>1379</v>
      </c>
      <c r="B686" s="18" t="s">
        <v>53</v>
      </c>
      <c r="C686" s="18" t="s">
        <v>1255</v>
      </c>
      <c r="D686" s="18" t="s">
        <v>175</v>
      </c>
      <c r="E686" s="19" t="s">
        <v>1380</v>
      </c>
      <c r="F686" s="18" t="s">
        <v>2624</v>
      </c>
      <c r="G686" s="18" t="n">
        <v>1</v>
      </c>
      <c r="H686" s="18" t="s">
        <v>2625</v>
      </c>
      <c r="I686" s="19"/>
      <c r="J686" s="18"/>
    </row>
    <row r="687" customFormat="false" ht="22.35" hidden="false" customHeight="false" outlineLevel="0" collapsed="false">
      <c r="A687" s="18" t="s">
        <v>1381</v>
      </c>
      <c r="B687" s="18" t="s">
        <v>53</v>
      </c>
      <c r="C687" s="18" t="s">
        <v>1255</v>
      </c>
      <c r="D687" s="18" t="s">
        <v>175</v>
      </c>
      <c r="E687" s="19" t="s">
        <v>1382</v>
      </c>
      <c r="F687" s="18" t="s">
        <v>2624</v>
      </c>
      <c r="G687" s="18" t="n">
        <v>1</v>
      </c>
      <c r="H687" s="18" t="s">
        <v>2663</v>
      </c>
      <c r="I687" s="19"/>
      <c r="J687" s="18"/>
    </row>
    <row r="688" customFormat="false" ht="22.35" hidden="false" customHeight="false" outlineLevel="0" collapsed="false">
      <c r="A688" s="18" t="s">
        <v>1383</v>
      </c>
      <c r="B688" s="18" t="s">
        <v>53</v>
      </c>
      <c r="C688" s="18" t="s">
        <v>1255</v>
      </c>
      <c r="D688" s="18" t="s">
        <v>164</v>
      </c>
      <c r="E688" s="19" t="s">
        <v>1384</v>
      </c>
      <c r="F688" s="18" t="s">
        <v>2624</v>
      </c>
      <c r="G688" s="18" t="n">
        <v>1</v>
      </c>
      <c r="H688" s="18" t="s">
        <v>2663</v>
      </c>
      <c r="I688" s="19"/>
      <c r="J688" s="18"/>
    </row>
    <row r="689" customFormat="false" ht="15" hidden="false" customHeight="false" outlineLevel="0" collapsed="false">
      <c r="A689" s="18" t="s">
        <v>1385</v>
      </c>
      <c r="B689" s="18" t="s">
        <v>53</v>
      </c>
      <c r="C689" s="18" t="s">
        <v>1255</v>
      </c>
      <c r="D689" s="18" t="s">
        <v>158</v>
      </c>
      <c r="E689" s="19" t="s">
        <v>1386</v>
      </c>
      <c r="F689" s="18" t="s">
        <v>2624</v>
      </c>
      <c r="G689" s="18" t="n">
        <v>1</v>
      </c>
      <c r="H689" s="18" t="s">
        <v>2663</v>
      </c>
      <c r="I689" s="19"/>
      <c r="J689" s="18"/>
    </row>
    <row r="690" customFormat="false" ht="15" hidden="false" customHeight="false" outlineLevel="0" collapsed="false">
      <c r="A690" s="18" t="s">
        <v>1387</v>
      </c>
      <c r="B690" s="18" t="s">
        <v>53</v>
      </c>
      <c r="C690" s="18" t="s">
        <v>1255</v>
      </c>
      <c r="D690" s="18" t="s">
        <v>158</v>
      </c>
      <c r="E690" s="19" t="s">
        <v>1388</v>
      </c>
      <c r="F690" s="18" t="s">
        <v>2624</v>
      </c>
      <c r="G690" s="18" t="n">
        <v>1</v>
      </c>
      <c r="H690" s="18" t="s">
        <v>2663</v>
      </c>
      <c r="I690" s="19"/>
      <c r="J690" s="18"/>
    </row>
    <row r="691" customFormat="false" ht="22.35" hidden="false" customHeight="false" outlineLevel="0" collapsed="false">
      <c r="A691" s="18" t="s">
        <v>1389</v>
      </c>
      <c r="B691" s="18" t="s">
        <v>53</v>
      </c>
      <c r="C691" s="18" t="s">
        <v>1255</v>
      </c>
      <c r="D691" s="18" t="s">
        <v>164</v>
      </c>
      <c r="E691" s="19" t="s">
        <v>1390</v>
      </c>
      <c r="F691" s="18" t="s">
        <v>2624</v>
      </c>
      <c r="G691" s="18" t="n">
        <v>1</v>
      </c>
      <c r="H691" s="18" t="s">
        <v>2663</v>
      </c>
      <c r="I691" s="19"/>
      <c r="J691" s="18"/>
    </row>
    <row r="692" customFormat="false" ht="15" hidden="false" customHeight="false" outlineLevel="0" collapsed="false">
      <c r="A692" s="18" t="s">
        <v>1391</v>
      </c>
      <c r="B692" s="18" t="s">
        <v>53</v>
      </c>
      <c r="C692" s="18" t="s">
        <v>1255</v>
      </c>
      <c r="D692" s="18" t="s">
        <v>164</v>
      </c>
      <c r="E692" s="19" t="s">
        <v>1392</v>
      </c>
      <c r="F692" s="18" t="s">
        <v>2624</v>
      </c>
      <c r="G692" s="18" t="n">
        <v>1</v>
      </c>
      <c r="H692" s="18" t="s">
        <v>2663</v>
      </c>
      <c r="I692" s="19"/>
      <c r="J692" s="18"/>
    </row>
    <row r="693" customFormat="false" ht="15" hidden="false" customHeight="false" outlineLevel="0" collapsed="false">
      <c r="A693" s="18" t="s">
        <v>1393</v>
      </c>
      <c r="B693" s="18" t="s">
        <v>53</v>
      </c>
      <c r="C693" s="18" t="s">
        <v>1255</v>
      </c>
      <c r="D693" s="18" t="s">
        <v>175</v>
      </c>
      <c r="E693" s="19" t="s">
        <v>1394</v>
      </c>
      <c r="F693" s="18" t="s">
        <v>2624</v>
      </c>
      <c r="G693" s="18" t="n">
        <v>1</v>
      </c>
      <c r="H693" s="18" t="s">
        <v>2663</v>
      </c>
      <c r="I693" s="19"/>
      <c r="J693" s="18"/>
    </row>
    <row r="694" customFormat="false" ht="22.35" hidden="false" customHeight="false" outlineLevel="0" collapsed="false">
      <c r="A694" s="18" t="s">
        <v>1395</v>
      </c>
      <c r="B694" s="18" t="s">
        <v>53</v>
      </c>
      <c r="C694" s="18" t="s">
        <v>1255</v>
      </c>
      <c r="D694" s="18" t="s">
        <v>175</v>
      </c>
      <c r="E694" s="19" t="s">
        <v>1396</v>
      </c>
      <c r="F694" s="18" t="s">
        <v>2624</v>
      </c>
      <c r="G694" s="18" t="n">
        <v>1</v>
      </c>
      <c r="H694" s="18" t="s">
        <v>2663</v>
      </c>
      <c r="I694" s="19"/>
      <c r="J694" s="18"/>
    </row>
    <row r="695" customFormat="false" ht="22.35" hidden="false" customHeight="false" outlineLevel="0" collapsed="false">
      <c r="A695" s="18" t="s">
        <v>1397</v>
      </c>
      <c r="B695" s="18" t="s">
        <v>53</v>
      </c>
      <c r="C695" s="18" t="s">
        <v>1255</v>
      </c>
      <c r="D695" s="18" t="s">
        <v>175</v>
      </c>
      <c r="E695" s="19" t="s">
        <v>1398</v>
      </c>
      <c r="F695" s="18" t="s">
        <v>2624</v>
      </c>
      <c r="G695" s="18" t="n">
        <v>1</v>
      </c>
      <c r="H695" s="18" t="s">
        <v>2663</v>
      </c>
      <c r="I695" s="19"/>
      <c r="J695" s="18"/>
    </row>
    <row r="696" customFormat="false" ht="22.35" hidden="false" customHeight="false" outlineLevel="0" collapsed="false">
      <c r="A696" s="18" t="s">
        <v>1399</v>
      </c>
      <c r="B696" s="18" t="s">
        <v>53</v>
      </c>
      <c r="C696" s="18" t="s">
        <v>1255</v>
      </c>
      <c r="D696" s="18" t="s">
        <v>175</v>
      </c>
      <c r="E696" s="19" t="s">
        <v>1400</v>
      </c>
      <c r="F696" s="18" t="s">
        <v>2624</v>
      </c>
      <c r="G696" s="18" t="n">
        <v>1</v>
      </c>
      <c r="H696" s="18" t="s">
        <v>2663</v>
      </c>
      <c r="I696" s="19"/>
      <c r="J696" s="18"/>
    </row>
    <row r="697" customFormat="false" ht="22.35" hidden="false" customHeight="false" outlineLevel="0" collapsed="false">
      <c r="A697" s="18" t="s">
        <v>1401</v>
      </c>
      <c r="B697" s="18" t="s">
        <v>53</v>
      </c>
      <c r="C697" s="18" t="s">
        <v>1255</v>
      </c>
      <c r="D697" s="18" t="s">
        <v>164</v>
      </c>
      <c r="E697" s="19" t="s">
        <v>1402</v>
      </c>
      <c r="F697" s="18" t="s">
        <v>2624</v>
      </c>
      <c r="G697" s="18" t="n">
        <v>1</v>
      </c>
      <c r="H697" s="18" t="s">
        <v>2663</v>
      </c>
      <c r="I697" s="19"/>
      <c r="J697" s="18"/>
    </row>
    <row r="698" customFormat="false" ht="22.35" hidden="false" customHeight="false" outlineLevel="0" collapsed="false">
      <c r="A698" s="18" t="s">
        <v>1403</v>
      </c>
      <c r="B698" s="18" t="s">
        <v>53</v>
      </c>
      <c r="C698" s="18" t="s">
        <v>1255</v>
      </c>
      <c r="D698" s="18" t="s">
        <v>164</v>
      </c>
      <c r="E698" s="19" t="s">
        <v>1404</v>
      </c>
      <c r="F698" s="18" t="s">
        <v>2624</v>
      </c>
      <c r="G698" s="18" t="n">
        <v>1</v>
      </c>
      <c r="H698" s="18" t="s">
        <v>2663</v>
      </c>
      <c r="I698" s="19"/>
      <c r="J698" s="18"/>
    </row>
    <row r="699" customFormat="false" ht="15" hidden="false" customHeight="false" outlineLevel="0" collapsed="false">
      <c r="A699" s="18" t="s">
        <v>1405</v>
      </c>
      <c r="B699" s="18" t="s">
        <v>53</v>
      </c>
      <c r="C699" s="18" t="s">
        <v>1255</v>
      </c>
      <c r="D699" s="18" t="s">
        <v>164</v>
      </c>
      <c r="E699" s="19" t="s">
        <v>385</v>
      </c>
      <c r="F699" s="18" t="s">
        <v>2624</v>
      </c>
      <c r="G699" s="18" t="n">
        <v>1</v>
      </c>
      <c r="H699" s="18" t="s">
        <v>2641</v>
      </c>
      <c r="I699" s="19"/>
      <c r="J699" s="18"/>
    </row>
    <row r="700" customFormat="false" ht="32.8" hidden="false" customHeight="false" outlineLevel="0" collapsed="false">
      <c r="A700" s="18" t="s">
        <v>1406</v>
      </c>
      <c r="B700" s="18" t="s">
        <v>53</v>
      </c>
      <c r="C700" s="18" t="s">
        <v>1255</v>
      </c>
      <c r="D700" s="18" t="s">
        <v>175</v>
      </c>
      <c r="E700" s="19" t="s">
        <v>1407</v>
      </c>
      <c r="F700" s="18" t="s">
        <v>2630</v>
      </c>
      <c r="G700" s="18" t="n">
        <v>0.83</v>
      </c>
      <c r="H700" s="18" t="s">
        <v>2625</v>
      </c>
      <c r="I700" s="19"/>
      <c r="J700" s="18"/>
    </row>
    <row r="701" customFormat="false" ht="15" hidden="false" customHeight="false" outlineLevel="0" collapsed="false">
      <c r="A701" s="18" t="s">
        <v>1408</v>
      </c>
      <c r="B701" s="18" t="s">
        <v>53</v>
      </c>
      <c r="C701" s="18" t="s">
        <v>1255</v>
      </c>
      <c r="D701" s="18" t="s">
        <v>158</v>
      </c>
      <c r="E701" s="19" t="s">
        <v>1409</v>
      </c>
      <c r="F701" s="18" t="s">
        <v>2624</v>
      </c>
      <c r="G701" s="18" t="n">
        <v>1</v>
      </c>
      <c r="H701" s="18" t="s">
        <v>2663</v>
      </c>
      <c r="I701" s="19"/>
      <c r="J701" s="18"/>
    </row>
    <row r="702" customFormat="false" ht="22.35" hidden="false" customHeight="false" outlineLevel="0" collapsed="false">
      <c r="A702" s="18" t="s">
        <v>1410</v>
      </c>
      <c r="B702" s="18" t="s">
        <v>53</v>
      </c>
      <c r="C702" s="18" t="s">
        <v>1255</v>
      </c>
      <c r="D702" s="18" t="s">
        <v>164</v>
      </c>
      <c r="E702" s="19" t="s">
        <v>1411</v>
      </c>
      <c r="F702" s="18" t="s">
        <v>2624</v>
      </c>
      <c r="G702" s="18" t="n">
        <v>1</v>
      </c>
      <c r="H702" s="18" t="s">
        <v>2663</v>
      </c>
      <c r="I702" s="19"/>
      <c r="J702" s="18"/>
    </row>
    <row r="703" customFormat="false" ht="32.8" hidden="false" customHeight="false" outlineLevel="0" collapsed="false">
      <c r="A703" s="18" t="s">
        <v>1412</v>
      </c>
      <c r="B703" s="18" t="s">
        <v>53</v>
      </c>
      <c r="C703" s="18" t="s">
        <v>1255</v>
      </c>
      <c r="D703" s="18" t="s">
        <v>168</v>
      </c>
      <c r="E703" s="19" t="s">
        <v>1413</v>
      </c>
      <c r="F703" s="18" t="s">
        <v>2624</v>
      </c>
      <c r="G703" s="18" t="n">
        <v>0.88</v>
      </c>
      <c r="H703" s="18" t="s">
        <v>2663</v>
      </c>
      <c r="I703" s="19"/>
      <c r="J703" s="18"/>
    </row>
    <row r="704" customFormat="false" ht="32.8" hidden="false" customHeight="false" outlineLevel="0" collapsed="false">
      <c r="A704" s="18" t="s">
        <v>1414</v>
      </c>
      <c r="B704" s="18" t="s">
        <v>53</v>
      </c>
      <c r="C704" s="18" t="s">
        <v>1255</v>
      </c>
      <c r="D704" s="18" t="s">
        <v>164</v>
      </c>
      <c r="E704" s="19" t="s">
        <v>1415</v>
      </c>
      <c r="F704" s="18" t="s">
        <v>2624</v>
      </c>
      <c r="G704" s="18" t="n">
        <v>1</v>
      </c>
      <c r="H704" s="18" t="s">
        <v>2663</v>
      </c>
      <c r="I704" s="19"/>
      <c r="J704" s="18"/>
    </row>
    <row r="705" customFormat="false" ht="32.8" hidden="false" customHeight="false" outlineLevel="0" collapsed="false">
      <c r="A705" s="18" t="s">
        <v>1416</v>
      </c>
      <c r="B705" s="18" t="s">
        <v>53</v>
      </c>
      <c r="C705" s="18" t="s">
        <v>1255</v>
      </c>
      <c r="D705" s="18" t="s">
        <v>164</v>
      </c>
      <c r="E705" s="19" t="s">
        <v>1417</v>
      </c>
      <c r="F705" s="18" t="s">
        <v>2624</v>
      </c>
      <c r="G705" s="18" t="n">
        <v>1</v>
      </c>
      <c r="H705" s="18" t="s">
        <v>2663</v>
      </c>
      <c r="I705" s="19"/>
      <c r="J705" s="18"/>
    </row>
    <row r="706" customFormat="false" ht="22.35" hidden="false" customHeight="false" outlineLevel="0" collapsed="false">
      <c r="A706" s="18" t="s">
        <v>1418</v>
      </c>
      <c r="B706" s="18" t="s">
        <v>53</v>
      </c>
      <c r="C706" s="18" t="s">
        <v>1255</v>
      </c>
      <c r="D706" s="18" t="s">
        <v>175</v>
      </c>
      <c r="E706" s="19" t="s">
        <v>1419</v>
      </c>
      <c r="F706" s="18" t="s">
        <v>2624</v>
      </c>
      <c r="G706" s="18" t="n">
        <v>1</v>
      </c>
      <c r="H706" s="18" t="s">
        <v>2663</v>
      </c>
      <c r="I706" s="19"/>
      <c r="J706" s="18"/>
    </row>
    <row r="707" customFormat="false" ht="15" hidden="false" customHeight="false" outlineLevel="0" collapsed="false">
      <c r="A707" s="18" t="s">
        <v>1420</v>
      </c>
      <c r="B707" s="18" t="s">
        <v>53</v>
      </c>
      <c r="C707" s="18" t="s">
        <v>1255</v>
      </c>
      <c r="D707" s="18" t="s">
        <v>164</v>
      </c>
      <c r="E707" s="19" t="s">
        <v>385</v>
      </c>
      <c r="F707" s="18" t="s">
        <v>2624</v>
      </c>
      <c r="G707" s="18" t="n">
        <v>1</v>
      </c>
      <c r="H707" s="18" t="s">
        <v>2641</v>
      </c>
      <c r="I707" s="19"/>
      <c r="J707" s="18"/>
    </row>
    <row r="708" customFormat="false" ht="53.7" hidden="false" customHeight="false" outlineLevel="0" collapsed="false">
      <c r="A708" s="18" t="s">
        <v>1421</v>
      </c>
      <c r="B708" s="18" t="s">
        <v>53</v>
      </c>
      <c r="C708" s="18" t="s">
        <v>1255</v>
      </c>
      <c r="D708" s="18" t="s">
        <v>175</v>
      </c>
      <c r="E708" s="19" t="s">
        <v>1422</v>
      </c>
      <c r="F708" s="18" t="s">
        <v>2624</v>
      </c>
      <c r="G708" s="18" t="n">
        <v>0.91</v>
      </c>
      <c r="H708" s="18" t="s">
        <v>2625</v>
      </c>
      <c r="I708" s="19"/>
      <c r="J708" s="18"/>
    </row>
    <row r="709" customFormat="false" ht="22.35" hidden="false" customHeight="false" outlineLevel="0" collapsed="false">
      <c r="A709" s="18" t="s">
        <v>1423</v>
      </c>
      <c r="B709" s="18" t="s">
        <v>53</v>
      </c>
      <c r="C709" s="18" t="s">
        <v>1255</v>
      </c>
      <c r="D709" s="18" t="s">
        <v>411</v>
      </c>
      <c r="E709" s="19" t="s">
        <v>410</v>
      </c>
      <c r="F709" s="18" t="s">
        <v>2636</v>
      </c>
      <c r="G709" s="18" t="n">
        <v>1</v>
      </c>
      <c r="H709" s="18" t="s">
        <v>2625</v>
      </c>
      <c r="I709" s="19" t="s">
        <v>2642</v>
      </c>
      <c r="J709" s="18"/>
    </row>
    <row r="710" customFormat="false" ht="15" hidden="false" customHeight="false" outlineLevel="0" collapsed="false">
      <c r="A710" s="18" t="s">
        <v>1424</v>
      </c>
      <c r="B710" s="18" t="s">
        <v>53</v>
      </c>
      <c r="C710" s="18" t="s">
        <v>1255</v>
      </c>
      <c r="D710" s="18" t="s">
        <v>411</v>
      </c>
      <c r="E710" s="19" t="s">
        <v>1425</v>
      </c>
      <c r="F710" s="18" t="s">
        <v>2624</v>
      </c>
      <c r="G710" s="18" t="n">
        <v>1</v>
      </c>
      <c r="H710" s="18" t="s">
        <v>2664</v>
      </c>
      <c r="I710" s="19"/>
      <c r="J710" s="18"/>
    </row>
    <row r="711" customFormat="false" ht="15" hidden="false" customHeight="false" outlineLevel="0" collapsed="false">
      <c r="A711" s="18" t="s">
        <v>1426</v>
      </c>
      <c r="B711" s="18" t="s">
        <v>53</v>
      </c>
      <c r="C711" s="18" t="s">
        <v>1255</v>
      </c>
      <c r="D711" s="18" t="s">
        <v>411</v>
      </c>
      <c r="E711" s="19" t="s">
        <v>1427</v>
      </c>
      <c r="F711" s="18" t="s">
        <v>2624</v>
      </c>
      <c r="G711" s="18" t="n">
        <v>1</v>
      </c>
      <c r="H711" s="18" t="s">
        <v>2625</v>
      </c>
      <c r="I711" s="19"/>
      <c r="J711" s="18"/>
    </row>
    <row r="712" customFormat="false" ht="15" hidden="false" customHeight="false" outlineLevel="0" collapsed="false">
      <c r="A712" s="18" t="s">
        <v>1428</v>
      </c>
      <c r="B712" s="18" t="s">
        <v>53</v>
      </c>
      <c r="C712" s="18" t="s">
        <v>1255</v>
      </c>
      <c r="D712" s="18" t="s">
        <v>411</v>
      </c>
      <c r="E712" s="19" t="s">
        <v>1429</v>
      </c>
      <c r="F712" s="18" t="s">
        <v>2624</v>
      </c>
      <c r="G712" s="18" t="n">
        <v>1</v>
      </c>
      <c r="H712" s="18" t="s">
        <v>2664</v>
      </c>
      <c r="I712" s="19"/>
      <c r="J712" s="18"/>
    </row>
    <row r="713" customFormat="false" ht="22.35" hidden="false" customHeight="false" outlineLevel="0" collapsed="false">
      <c r="A713" s="18" t="s">
        <v>1430</v>
      </c>
      <c r="B713" s="18" t="s">
        <v>53</v>
      </c>
      <c r="C713" s="18" t="s">
        <v>1255</v>
      </c>
      <c r="D713" s="18" t="s">
        <v>411</v>
      </c>
      <c r="E713" s="19" t="s">
        <v>1431</v>
      </c>
      <c r="F713" s="18" t="s">
        <v>2624</v>
      </c>
      <c r="G713" s="18" t="n">
        <v>1</v>
      </c>
      <c r="H713" s="18" t="s">
        <v>2664</v>
      </c>
      <c r="I713" s="19"/>
      <c r="J713" s="18"/>
    </row>
    <row r="714" customFormat="false" ht="22.35" hidden="false" customHeight="false" outlineLevel="0" collapsed="false">
      <c r="A714" s="18" t="s">
        <v>1432</v>
      </c>
      <c r="B714" s="18" t="s">
        <v>53</v>
      </c>
      <c r="C714" s="18" t="s">
        <v>1255</v>
      </c>
      <c r="D714" s="18" t="s">
        <v>411</v>
      </c>
      <c r="E714" s="19" t="s">
        <v>1433</v>
      </c>
      <c r="F714" s="18" t="s">
        <v>2624</v>
      </c>
      <c r="G714" s="18" t="n">
        <v>1</v>
      </c>
      <c r="H714" s="18" t="s">
        <v>2664</v>
      </c>
      <c r="I714" s="19"/>
      <c r="J714" s="18"/>
    </row>
    <row r="715" customFormat="false" ht="22.35" hidden="false" customHeight="false" outlineLevel="0" collapsed="false">
      <c r="A715" s="18" t="s">
        <v>1434</v>
      </c>
      <c r="B715" s="18" t="s">
        <v>53</v>
      </c>
      <c r="C715" s="18" t="s">
        <v>1255</v>
      </c>
      <c r="D715" s="18" t="s">
        <v>411</v>
      </c>
      <c r="E715" s="19" t="s">
        <v>1435</v>
      </c>
      <c r="F715" s="18" t="s">
        <v>2624</v>
      </c>
      <c r="G715" s="18" t="n">
        <v>1</v>
      </c>
      <c r="H715" s="18" t="s">
        <v>2664</v>
      </c>
      <c r="I715" s="19"/>
      <c r="J715" s="18"/>
    </row>
    <row r="716" customFormat="false" ht="22.35" hidden="false" customHeight="false" outlineLevel="0" collapsed="false">
      <c r="A716" s="18" t="s">
        <v>1436</v>
      </c>
      <c r="B716" s="18" t="s">
        <v>53</v>
      </c>
      <c r="C716" s="18" t="s">
        <v>1255</v>
      </c>
      <c r="D716" s="18" t="s">
        <v>411</v>
      </c>
      <c r="E716" s="19" t="s">
        <v>1437</v>
      </c>
      <c r="F716" s="18" t="s">
        <v>2624</v>
      </c>
      <c r="G716" s="18" t="n">
        <v>1</v>
      </c>
      <c r="H716" s="18" t="s">
        <v>2664</v>
      </c>
      <c r="I716" s="19"/>
      <c r="J716" s="18"/>
    </row>
    <row r="717" customFormat="false" ht="15" hidden="false" customHeight="false" outlineLevel="0" collapsed="false">
      <c r="A717" s="18" t="s">
        <v>1438</v>
      </c>
      <c r="B717" s="18" t="s">
        <v>53</v>
      </c>
      <c r="C717" s="18" t="s">
        <v>1255</v>
      </c>
      <c r="D717" s="18" t="s">
        <v>411</v>
      </c>
      <c r="E717" s="19" t="s">
        <v>1439</v>
      </c>
      <c r="F717" s="18" t="s">
        <v>2624</v>
      </c>
      <c r="G717" s="18" t="n">
        <v>1</v>
      </c>
      <c r="H717" s="18" t="s">
        <v>2664</v>
      </c>
      <c r="I717" s="19"/>
      <c r="J717" s="18"/>
    </row>
    <row r="718" customFormat="false" ht="15" hidden="false" customHeight="false" outlineLevel="0" collapsed="false">
      <c r="A718" s="18" t="s">
        <v>1440</v>
      </c>
      <c r="B718" s="18" t="s">
        <v>53</v>
      </c>
      <c r="C718" s="18" t="s">
        <v>1255</v>
      </c>
      <c r="D718" s="18" t="s">
        <v>411</v>
      </c>
      <c r="E718" s="19" t="s">
        <v>1441</v>
      </c>
      <c r="F718" s="18" t="s">
        <v>2624</v>
      </c>
      <c r="G718" s="18" t="n">
        <v>1</v>
      </c>
      <c r="H718" s="18" t="s">
        <v>2625</v>
      </c>
      <c r="I718" s="19"/>
      <c r="J718" s="18"/>
    </row>
    <row r="719" customFormat="false" ht="15" hidden="false" customHeight="false" outlineLevel="0" collapsed="false">
      <c r="A719" s="18" t="s">
        <v>1442</v>
      </c>
      <c r="B719" s="18" t="s">
        <v>53</v>
      </c>
      <c r="C719" s="18" t="s">
        <v>1255</v>
      </c>
      <c r="D719" s="18" t="s">
        <v>411</v>
      </c>
      <c r="E719" s="19" t="s">
        <v>1443</v>
      </c>
      <c r="F719" s="18" t="s">
        <v>2624</v>
      </c>
      <c r="G719" s="18" t="n">
        <v>1</v>
      </c>
      <c r="H719" s="18" t="s">
        <v>2664</v>
      </c>
      <c r="I719" s="19"/>
      <c r="J719" s="18"/>
    </row>
    <row r="720" customFormat="false" ht="15" hidden="false" customHeight="false" outlineLevel="0" collapsed="false">
      <c r="A720" s="18" t="s">
        <v>1444</v>
      </c>
      <c r="B720" s="18" t="s">
        <v>53</v>
      </c>
      <c r="C720" s="18" t="s">
        <v>1255</v>
      </c>
      <c r="D720" s="18" t="s">
        <v>411</v>
      </c>
      <c r="E720" s="19" t="s">
        <v>1445</v>
      </c>
      <c r="F720" s="18" t="s">
        <v>2624</v>
      </c>
      <c r="G720" s="18" t="n">
        <v>1</v>
      </c>
      <c r="H720" s="18" t="s">
        <v>2664</v>
      </c>
      <c r="I720" s="19"/>
      <c r="J720" s="18"/>
    </row>
    <row r="721" customFormat="false" ht="32.8" hidden="false" customHeight="false" outlineLevel="0" collapsed="false">
      <c r="A721" s="18" t="s">
        <v>1446</v>
      </c>
      <c r="B721" s="18" t="s">
        <v>53</v>
      </c>
      <c r="C721" s="18" t="s">
        <v>1255</v>
      </c>
      <c r="D721" s="18" t="s">
        <v>411</v>
      </c>
      <c r="E721" s="19" t="s">
        <v>1447</v>
      </c>
      <c r="F721" s="18" t="s">
        <v>2624</v>
      </c>
      <c r="G721" s="18" t="n">
        <v>1</v>
      </c>
      <c r="H721" s="18" t="s">
        <v>2664</v>
      </c>
      <c r="I721" s="19"/>
      <c r="J721" s="18"/>
    </row>
    <row r="722" customFormat="false" ht="15" hidden="false" customHeight="false" outlineLevel="0" collapsed="false">
      <c r="A722" s="18" t="s">
        <v>1448</v>
      </c>
      <c r="B722" s="18" t="s">
        <v>53</v>
      </c>
      <c r="C722" s="18" t="s">
        <v>1255</v>
      </c>
      <c r="D722" s="18" t="s">
        <v>411</v>
      </c>
      <c r="E722" s="19" t="s">
        <v>1439</v>
      </c>
      <c r="F722" s="18" t="s">
        <v>2624</v>
      </c>
      <c r="G722" s="18" t="n">
        <v>1</v>
      </c>
      <c r="H722" s="18" t="s">
        <v>2664</v>
      </c>
      <c r="I722" s="19"/>
      <c r="J722" s="18"/>
    </row>
    <row r="723" customFormat="false" ht="15" hidden="false" customHeight="false" outlineLevel="0" collapsed="false">
      <c r="A723" s="18" t="s">
        <v>1449</v>
      </c>
      <c r="B723" s="18" t="s">
        <v>53</v>
      </c>
      <c r="C723" s="18" t="s">
        <v>1255</v>
      </c>
      <c r="D723" s="18" t="s">
        <v>411</v>
      </c>
      <c r="E723" s="19" t="s">
        <v>1450</v>
      </c>
      <c r="F723" s="18" t="s">
        <v>2624</v>
      </c>
      <c r="G723" s="18" t="n">
        <v>1</v>
      </c>
      <c r="H723" s="18" t="s">
        <v>2664</v>
      </c>
      <c r="I723" s="19"/>
      <c r="J723" s="18"/>
    </row>
    <row r="724" customFormat="false" ht="15" hidden="false" customHeight="false" outlineLevel="0" collapsed="false">
      <c r="A724" s="18" t="s">
        <v>1451</v>
      </c>
      <c r="B724" s="18" t="s">
        <v>53</v>
      </c>
      <c r="C724" s="18" t="s">
        <v>1255</v>
      </c>
      <c r="D724" s="18" t="s">
        <v>411</v>
      </c>
      <c r="E724" s="19" t="s">
        <v>1452</v>
      </c>
      <c r="F724" s="18" t="s">
        <v>2624</v>
      </c>
      <c r="G724" s="18" t="n">
        <v>1</v>
      </c>
      <c r="H724" s="18" t="s">
        <v>2625</v>
      </c>
      <c r="I724" s="19"/>
      <c r="J724" s="18"/>
    </row>
    <row r="725" customFormat="false" ht="15" hidden="false" customHeight="false" outlineLevel="0" collapsed="false">
      <c r="A725" s="18" t="s">
        <v>1453</v>
      </c>
      <c r="B725" s="18" t="s">
        <v>53</v>
      </c>
      <c r="C725" s="18" t="s">
        <v>1255</v>
      </c>
      <c r="D725" s="18" t="s">
        <v>411</v>
      </c>
      <c r="E725" s="19" t="s">
        <v>1445</v>
      </c>
      <c r="F725" s="18" t="s">
        <v>2624</v>
      </c>
      <c r="G725" s="18" t="n">
        <v>1</v>
      </c>
      <c r="H725" s="18" t="s">
        <v>2664</v>
      </c>
      <c r="I725" s="19"/>
      <c r="J725" s="18"/>
    </row>
    <row r="726" customFormat="false" ht="32.8" hidden="false" customHeight="false" outlineLevel="0" collapsed="false">
      <c r="A726" s="18" t="s">
        <v>1454</v>
      </c>
      <c r="B726" s="18" t="s">
        <v>53</v>
      </c>
      <c r="C726" s="18" t="s">
        <v>1255</v>
      </c>
      <c r="D726" s="18" t="s">
        <v>411</v>
      </c>
      <c r="E726" s="19" t="s">
        <v>1455</v>
      </c>
      <c r="F726" s="18" t="s">
        <v>2624</v>
      </c>
      <c r="G726" s="18" t="n">
        <v>1</v>
      </c>
      <c r="H726" s="18" t="s">
        <v>2664</v>
      </c>
      <c r="I726" s="19"/>
      <c r="J726" s="18"/>
    </row>
    <row r="727" customFormat="false" ht="15" hidden="false" customHeight="false" outlineLevel="0" collapsed="false">
      <c r="A727" s="18" t="s">
        <v>1456</v>
      </c>
      <c r="B727" s="18" t="s">
        <v>53</v>
      </c>
      <c r="C727" s="18" t="s">
        <v>1255</v>
      </c>
      <c r="D727" s="18" t="s">
        <v>411</v>
      </c>
      <c r="E727" s="19" t="s">
        <v>1439</v>
      </c>
      <c r="F727" s="18" t="s">
        <v>2624</v>
      </c>
      <c r="G727" s="18" t="n">
        <v>1</v>
      </c>
      <c r="H727" s="18" t="s">
        <v>2664</v>
      </c>
      <c r="I727" s="19"/>
      <c r="J727" s="18"/>
    </row>
    <row r="728" customFormat="false" ht="15" hidden="false" customHeight="false" outlineLevel="0" collapsed="false">
      <c r="A728" s="18" t="s">
        <v>1457</v>
      </c>
      <c r="B728" s="18" t="s">
        <v>53</v>
      </c>
      <c r="C728" s="18" t="s">
        <v>1255</v>
      </c>
      <c r="D728" s="18" t="s">
        <v>411</v>
      </c>
      <c r="E728" s="19" t="s">
        <v>1450</v>
      </c>
      <c r="F728" s="18" t="s">
        <v>2624</v>
      </c>
      <c r="G728" s="18" t="n">
        <v>1</v>
      </c>
      <c r="H728" s="18" t="s">
        <v>2664</v>
      </c>
      <c r="I728" s="19"/>
      <c r="J728" s="18"/>
    </row>
    <row r="729" customFormat="false" ht="15" hidden="false" customHeight="false" outlineLevel="0" collapsed="false">
      <c r="A729" s="18" t="s">
        <v>1458</v>
      </c>
      <c r="B729" s="18" t="s">
        <v>53</v>
      </c>
      <c r="C729" s="18" t="s">
        <v>1255</v>
      </c>
      <c r="D729" s="18" t="s">
        <v>411</v>
      </c>
      <c r="E729" s="19" t="s">
        <v>1443</v>
      </c>
      <c r="F729" s="18" t="s">
        <v>2624</v>
      </c>
      <c r="G729" s="18" t="n">
        <v>1</v>
      </c>
      <c r="H729" s="18" t="s">
        <v>2664</v>
      </c>
      <c r="I729" s="19"/>
      <c r="J729" s="18"/>
    </row>
    <row r="730" customFormat="false" ht="22.35" hidden="false" customHeight="false" outlineLevel="0" collapsed="false">
      <c r="A730" s="18" t="s">
        <v>1459</v>
      </c>
      <c r="B730" s="18" t="s">
        <v>53</v>
      </c>
      <c r="C730" s="18" t="s">
        <v>1255</v>
      </c>
      <c r="D730" s="18" t="s">
        <v>411</v>
      </c>
      <c r="E730" s="19" t="s">
        <v>1460</v>
      </c>
      <c r="F730" s="18" t="s">
        <v>2624</v>
      </c>
      <c r="G730" s="18" t="n">
        <v>1</v>
      </c>
      <c r="H730" s="18" t="s">
        <v>2625</v>
      </c>
      <c r="I730" s="19"/>
      <c r="J730" s="18"/>
    </row>
    <row r="731" customFormat="false" ht="32.8" hidden="false" customHeight="false" outlineLevel="0" collapsed="false">
      <c r="A731" s="18" t="s">
        <v>1461</v>
      </c>
      <c r="B731" s="18" t="s">
        <v>53</v>
      </c>
      <c r="C731" s="18" t="s">
        <v>1255</v>
      </c>
      <c r="D731" s="18" t="s">
        <v>411</v>
      </c>
      <c r="E731" s="19" t="s">
        <v>1462</v>
      </c>
      <c r="F731" s="18" t="s">
        <v>2624</v>
      </c>
      <c r="G731" s="18" t="n">
        <v>1</v>
      </c>
      <c r="H731" s="18" t="s">
        <v>2664</v>
      </c>
      <c r="I731" s="19"/>
      <c r="J731" s="18"/>
    </row>
    <row r="732" customFormat="false" ht="15" hidden="false" customHeight="false" outlineLevel="0" collapsed="false">
      <c r="A732" s="18" t="s">
        <v>1463</v>
      </c>
      <c r="B732" s="18" t="s">
        <v>53</v>
      </c>
      <c r="C732" s="18" t="s">
        <v>1255</v>
      </c>
      <c r="D732" s="18" t="s">
        <v>411</v>
      </c>
      <c r="E732" s="19" t="s">
        <v>1439</v>
      </c>
      <c r="F732" s="18" t="s">
        <v>2624</v>
      </c>
      <c r="G732" s="18" t="n">
        <v>1</v>
      </c>
      <c r="H732" s="18" t="s">
        <v>2664</v>
      </c>
      <c r="I732" s="19"/>
      <c r="J732" s="18"/>
    </row>
    <row r="733" customFormat="false" ht="15" hidden="false" customHeight="false" outlineLevel="0" collapsed="false">
      <c r="A733" s="18" t="s">
        <v>1464</v>
      </c>
      <c r="B733" s="18" t="s">
        <v>53</v>
      </c>
      <c r="C733" s="18" t="s">
        <v>1255</v>
      </c>
      <c r="D733" s="18" t="s">
        <v>411</v>
      </c>
      <c r="E733" s="19" t="s">
        <v>1450</v>
      </c>
      <c r="F733" s="18" t="s">
        <v>2624</v>
      </c>
      <c r="G733" s="18" t="n">
        <v>1</v>
      </c>
      <c r="H733" s="18" t="s">
        <v>2664</v>
      </c>
      <c r="I733" s="19"/>
      <c r="J733" s="18"/>
    </row>
    <row r="734" customFormat="false" ht="22.35" hidden="false" customHeight="false" outlineLevel="0" collapsed="false">
      <c r="A734" s="18" t="s">
        <v>1465</v>
      </c>
      <c r="B734" s="18" t="s">
        <v>53</v>
      </c>
      <c r="C734" s="18" t="s">
        <v>1255</v>
      </c>
      <c r="D734" s="18" t="s">
        <v>411</v>
      </c>
      <c r="E734" s="19" t="s">
        <v>1466</v>
      </c>
      <c r="F734" s="18" t="s">
        <v>2624</v>
      </c>
      <c r="G734" s="18" t="n">
        <v>1</v>
      </c>
      <c r="H734" s="18" t="s">
        <v>2625</v>
      </c>
      <c r="I734" s="19"/>
      <c r="J734" s="18"/>
    </row>
    <row r="735" customFormat="false" ht="15" hidden="false" customHeight="false" outlineLevel="0" collapsed="false">
      <c r="A735" s="18" t="s">
        <v>1467</v>
      </c>
      <c r="B735" s="18" t="s">
        <v>53</v>
      </c>
      <c r="C735" s="18" t="s">
        <v>1255</v>
      </c>
      <c r="D735" s="18" t="s">
        <v>411</v>
      </c>
      <c r="E735" s="19" t="s">
        <v>1445</v>
      </c>
      <c r="F735" s="18" t="s">
        <v>2624</v>
      </c>
      <c r="G735" s="18" t="n">
        <v>1</v>
      </c>
      <c r="H735" s="18" t="s">
        <v>2664</v>
      </c>
      <c r="I735" s="19"/>
      <c r="J735" s="18"/>
    </row>
    <row r="736" customFormat="false" ht="15" hidden="false" customHeight="false" outlineLevel="0" collapsed="false">
      <c r="A736" s="18" t="s">
        <v>1468</v>
      </c>
      <c r="B736" s="18" t="s">
        <v>53</v>
      </c>
      <c r="C736" s="18" t="s">
        <v>1255</v>
      </c>
      <c r="D736" s="18" t="s">
        <v>158</v>
      </c>
      <c r="E736" s="19" t="s">
        <v>447</v>
      </c>
      <c r="F736" s="18" t="s">
        <v>2624</v>
      </c>
      <c r="G736" s="18" t="n">
        <v>1</v>
      </c>
      <c r="H736" s="18" t="s">
        <v>2644</v>
      </c>
      <c r="I736" s="19"/>
      <c r="J736" s="18"/>
    </row>
    <row r="737" customFormat="false" ht="15" hidden="false" customHeight="false" outlineLevel="0" collapsed="false">
      <c r="A737" s="18" t="s">
        <v>1469</v>
      </c>
      <c r="B737" s="18" t="s">
        <v>53</v>
      </c>
      <c r="C737" s="18" t="s">
        <v>1255</v>
      </c>
      <c r="D737" s="18" t="s">
        <v>411</v>
      </c>
      <c r="E737" s="19" t="s">
        <v>449</v>
      </c>
      <c r="F737" s="18" t="s">
        <v>2624</v>
      </c>
      <c r="G737" s="18" t="n">
        <v>1</v>
      </c>
      <c r="H737" s="18" t="s">
        <v>2645</v>
      </c>
      <c r="I737" s="19"/>
      <c r="J737" s="18"/>
    </row>
    <row r="738" customFormat="false" ht="43.25" hidden="false" customHeight="false" outlineLevel="0" collapsed="false">
      <c r="A738" s="18" t="s">
        <v>1470</v>
      </c>
      <c r="B738" s="18" t="s">
        <v>53</v>
      </c>
      <c r="C738" s="18" t="s">
        <v>1255</v>
      </c>
      <c r="D738" s="18" t="s">
        <v>411</v>
      </c>
      <c r="E738" s="19" t="s">
        <v>1471</v>
      </c>
      <c r="F738" s="18" t="s">
        <v>2624</v>
      </c>
      <c r="G738" s="18" t="n">
        <v>1</v>
      </c>
      <c r="H738" s="18" t="s">
        <v>2661</v>
      </c>
      <c r="I738" s="19"/>
      <c r="J738" s="18"/>
    </row>
    <row r="739" customFormat="false" ht="22.35" hidden="false" customHeight="false" outlineLevel="0" collapsed="false">
      <c r="A739" s="18" t="s">
        <v>1472</v>
      </c>
      <c r="B739" s="18" t="s">
        <v>53</v>
      </c>
      <c r="C739" s="18" t="s">
        <v>1255</v>
      </c>
      <c r="D739" s="18" t="s">
        <v>411</v>
      </c>
      <c r="E739" s="19" t="s">
        <v>1184</v>
      </c>
      <c r="F739" s="18" t="s">
        <v>2624</v>
      </c>
      <c r="G739" s="18" t="n">
        <v>0.85</v>
      </c>
      <c r="H739" s="18" t="s">
        <v>2661</v>
      </c>
      <c r="I739" s="19"/>
      <c r="J739" s="18"/>
    </row>
    <row r="740" customFormat="false" ht="22.35" hidden="false" customHeight="false" outlineLevel="0" collapsed="false">
      <c r="A740" s="18" t="s">
        <v>1473</v>
      </c>
      <c r="B740" s="18" t="s">
        <v>53</v>
      </c>
      <c r="C740" s="18" t="s">
        <v>1255</v>
      </c>
      <c r="D740" s="18" t="s">
        <v>411</v>
      </c>
      <c r="E740" s="19" t="s">
        <v>1474</v>
      </c>
      <c r="F740" s="18" t="s">
        <v>2624</v>
      </c>
      <c r="G740" s="18" t="n">
        <v>1</v>
      </c>
      <c r="H740" s="18" t="s">
        <v>2661</v>
      </c>
      <c r="I740" s="19"/>
      <c r="J740" s="18"/>
    </row>
    <row r="741" customFormat="false" ht="22.35" hidden="false" customHeight="false" outlineLevel="0" collapsed="false">
      <c r="A741" s="18" t="s">
        <v>1475</v>
      </c>
      <c r="B741" s="18" t="s">
        <v>53</v>
      </c>
      <c r="C741" s="18" t="s">
        <v>1255</v>
      </c>
      <c r="D741" s="18" t="s">
        <v>411</v>
      </c>
      <c r="E741" s="19" t="s">
        <v>455</v>
      </c>
      <c r="F741" s="18" t="s">
        <v>2627</v>
      </c>
      <c r="G741" s="18" t="n">
        <v>0</v>
      </c>
      <c r="H741" s="18"/>
      <c r="I741" s="19" t="s">
        <v>2635</v>
      </c>
      <c r="J741" s="18"/>
    </row>
    <row r="742" customFormat="false" ht="15" hidden="false" customHeight="false" outlineLevel="0" collapsed="false">
      <c r="A742" s="18" t="s">
        <v>1476</v>
      </c>
      <c r="B742" s="18" t="s">
        <v>53</v>
      </c>
      <c r="C742" s="18" t="s">
        <v>1255</v>
      </c>
      <c r="D742" s="18" t="s">
        <v>411</v>
      </c>
      <c r="E742" s="19" t="s">
        <v>457</v>
      </c>
      <c r="F742" s="18" t="s">
        <v>2627</v>
      </c>
      <c r="G742" s="18" t="n">
        <v>0.2</v>
      </c>
      <c r="H742" s="18"/>
      <c r="I742" s="19" t="s">
        <v>2634</v>
      </c>
      <c r="J742" s="18"/>
    </row>
    <row r="743" customFormat="false" ht="15" hidden="false" customHeight="false" outlineLevel="0" collapsed="false">
      <c r="A743" s="18" t="s">
        <v>1477</v>
      </c>
      <c r="B743" s="18" t="s">
        <v>53</v>
      </c>
      <c r="C743" s="18" t="s">
        <v>1255</v>
      </c>
      <c r="D743" s="18" t="s">
        <v>411</v>
      </c>
      <c r="E743" s="19" t="s">
        <v>459</v>
      </c>
      <c r="F743" s="18" t="s">
        <v>2630</v>
      </c>
      <c r="G743" s="18" t="n">
        <v>0.67</v>
      </c>
      <c r="H743" s="18" t="s">
        <v>2647</v>
      </c>
      <c r="I743" s="19"/>
      <c r="J743" s="18"/>
    </row>
    <row r="744" customFormat="false" ht="15" hidden="false" customHeight="false" outlineLevel="0" collapsed="false">
      <c r="A744" s="18" t="s">
        <v>1478</v>
      </c>
      <c r="B744" s="18" t="s">
        <v>53</v>
      </c>
      <c r="C744" s="18" t="s">
        <v>1255</v>
      </c>
      <c r="D744" s="18" t="s">
        <v>411</v>
      </c>
      <c r="E744" s="19" t="s">
        <v>1479</v>
      </c>
      <c r="F744" s="18" t="s">
        <v>2624</v>
      </c>
      <c r="G744" s="18" t="n">
        <v>1</v>
      </c>
      <c r="H744" s="18" t="s">
        <v>2661</v>
      </c>
      <c r="I744" s="19"/>
      <c r="J744" s="18"/>
    </row>
    <row r="745" customFormat="false" ht="15" hidden="false" customHeight="false" outlineLevel="0" collapsed="false">
      <c r="A745" s="18" t="s">
        <v>1480</v>
      </c>
      <c r="B745" s="18" t="s">
        <v>53</v>
      </c>
      <c r="C745" s="18" t="s">
        <v>1255</v>
      </c>
      <c r="D745" s="18" t="s">
        <v>411</v>
      </c>
      <c r="E745" s="19" t="s">
        <v>1481</v>
      </c>
      <c r="F745" s="18" t="s">
        <v>2624</v>
      </c>
      <c r="G745" s="18" t="n">
        <v>1</v>
      </c>
      <c r="H745" s="18" t="s">
        <v>2661</v>
      </c>
      <c r="I745" s="19"/>
      <c r="J745" s="18"/>
    </row>
    <row r="746" customFormat="false" ht="15" hidden="false" customHeight="false" outlineLevel="0" collapsed="false">
      <c r="A746" s="18" t="s">
        <v>1482</v>
      </c>
      <c r="B746" s="18" t="s">
        <v>53</v>
      </c>
      <c r="C746" s="18" t="s">
        <v>1255</v>
      </c>
      <c r="D746" s="18" t="s">
        <v>411</v>
      </c>
      <c r="E746" s="19" t="s">
        <v>1483</v>
      </c>
      <c r="F746" s="18" t="s">
        <v>2624</v>
      </c>
      <c r="G746" s="18" t="n">
        <v>1</v>
      </c>
      <c r="H746" s="18" t="s">
        <v>2661</v>
      </c>
      <c r="I746" s="19"/>
      <c r="J746" s="18"/>
    </row>
    <row r="747" customFormat="false" ht="22.35" hidden="false" customHeight="false" outlineLevel="0" collapsed="false">
      <c r="A747" s="18" t="s">
        <v>1484</v>
      </c>
      <c r="B747" s="18" t="s">
        <v>53</v>
      </c>
      <c r="C747" s="18" t="s">
        <v>1255</v>
      </c>
      <c r="D747" s="18" t="s">
        <v>158</v>
      </c>
      <c r="E747" s="19" t="s">
        <v>467</v>
      </c>
      <c r="F747" s="18" t="s">
        <v>2631</v>
      </c>
      <c r="G747" s="18" t="n">
        <v>0</v>
      </c>
      <c r="H747" s="18"/>
      <c r="I747" s="19" t="s">
        <v>2639</v>
      </c>
      <c r="J747" s="18"/>
    </row>
    <row r="748" customFormat="false" ht="22.35" hidden="false" customHeight="false" outlineLevel="0" collapsed="false">
      <c r="A748" s="18" t="s">
        <v>1485</v>
      </c>
      <c r="B748" s="18" t="s">
        <v>53</v>
      </c>
      <c r="C748" s="18" t="s">
        <v>1255</v>
      </c>
      <c r="D748" s="18" t="s">
        <v>164</v>
      </c>
      <c r="E748" s="19" t="s">
        <v>1486</v>
      </c>
      <c r="F748" s="18" t="s">
        <v>2631</v>
      </c>
      <c r="G748" s="18" t="n">
        <v>0.13</v>
      </c>
      <c r="H748" s="18"/>
      <c r="I748" s="19" t="s">
        <v>2639</v>
      </c>
      <c r="J748" s="18"/>
    </row>
    <row r="749" customFormat="false" ht="22.35" hidden="false" customHeight="false" outlineLevel="0" collapsed="false">
      <c r="A749" s="18" t="s">
        <v>1487</v>
      </c>
      <c r="B749" s="18" t="s">
        <v>53</v>
      </c>
      <c r="C749" s="18" t="s">
        <v>1255</v>
      </c>
      <c r="D749" s="18" t="s">
        <v>164</v>
      </c>
      <c r="E749" s="19" t="s">
        <v>1488</v>
      </c>
      <c r="F749" s="18" t="s">
        <v>2631</v>
      </c>
      <c r="G749" s="18" t="n">
        <v>0.18</v>
      </c>
      <c r="H749" s="18"/>
      <c r="I749" s="19" t="s">
        <v>2639</v>
      </c>
      <c r="J749" s="18"/>
    </row>
    <row r="750" customFormat="false" ht="22.35" hidden="false" customHeight="false" outlineLevel="0" collapsed="false">
      <c r="A750" s="18" t="s">
        <v>1489</v>
      </c>
      <c r="B750" s="18" t="s">
        <v>53</v>
      </c>
      <c r="C750" s="18" t="s">
        <v>1255</v>
      </c>
      <c r="D750" s="18" t="s">
        <v>164</v>
      </c>
      <c r="E750" s="19" t="s">
        <v>1490</v>
      </c>
      <c r="F750" s="18" t="s">
        <v>2631</v>
      </c>
      <c r="G750" s="18" t="n">
        <v>0.14</v>
      </c>
      <c r="H750" s="18"/>
      <c r="I750" s="19" t="s">
        <v>2639</v>
      </c>
      <c r="J750" s="18"/>
    </row>
    <row r="751" customFormat="false" ht="22.35" hidden="false" customHeight="false" outlineLevel="0" collapsed="false">
      <c r="A751" s="18" t="s">
        <v>1491</v>
      </c>
      <c r="B751" s="18" t="s">
        <v>53</v>
      </c>
      <c r="C751" s="18" t="s">
        <v>1255</v>
      </c>
      <c r="D751" s="18" t="s">
        <v>164</v>
      </c>
      <c r="E751" s="19" t="s">
        <v>475</v>
      </c>
      <c r="F751" s="18" t="s">
        <v>2631</v>
      </c>
      <c r="G751" s="18" t="n">
        <v>0.11</v>
      </c>
      <c r="H751" s="18"/>
      <c r="I751" s="19" t="s">
        <v>2639</v>
      </c>
      <c r="J751" s="18"/>
    </row>
    <row r="752" customFormat="false" ht="15" hidden="false" customHeight="false" outlineLevel="0" collapsed="false">
      <c r="A752" s="18" t="s">
        <v>1492</v>
      </c>
      <c r="B752" s="18" t="s">
        <v>53</v>
      </c>
      <c r="C752" s="18" t="s">
        <v>1255</v>
      </c>
      <c r="D752" s="18" t="s">
        <v>478</v>
      </c>
      <c r="E752" s="19" t="s">
        <v>477</v>
      </c>
      <c r="F752" s="18" t="s">
        <v>2624</v>
      </c>
      <c r="G752" s="18" t="n">
        <v>1</v>
      </c>
      <c r="H752" s="18" t="s">
        <v>2625</v>
      </c>
      <c r="I752" s="19"/>
      <c r="J752" s="18"/>
    </row>
    <row r="753" customFormat="false" ht="32.8" hidden="false" customHeight="false" outlineLevel="0" collapsed="false">
      <c r="A753" s="18" t="s">
        <v>1493</v>
      </c>
      <c r="B753" s="18" t="s">
        <v>53</v>
      </c>
      <c r="C753" s="18" t="s">
        <v>1255</v>
      </c>
      <c r="D753" s="18" t="s">
        <v>478</v>
      </c>
      <c r="E753" s="19" t="s">
        <v>1494</v>
      </c>
      <c r="F753" s="18" t="s">
        <v>2630</v>
      </c>
      <c r="G753" s="18" t="n">
        <v>0.79</v>
      </c>
      <c r="H753" s="18" t="s">
        <v>2633</v>
      </c>
      <c r="I753" s="19"/>
      <c r="J753" s="18"/>
    </row>
    <row r="754" customFormat="false" ht="32.8" hidden="false" customHeight="false" outlineLevel="0" collapsed="false">
      <c r="A754" s="18" t="s">
        <v>1495</v>
      </c>
      <c r="B754" s="18" t="s">
        <v>53</v>
      </c>
      <c r="C754" s="18" t="s">
        <v>1255</v>
      </c>
      <c r="D754" s="18" t="s">
        <v>478</v>
      </c>
      <c r="E754" s="19" t="s">
        <v>1496</v>
      </c>
      <c r="F754" s="18" t="s">
        <v>2624</v>
      </c>
      <c r="G754" s="18" t="n">
        <v>0.93</v>
      </c>
      <c r="H754" s="18" t="s">
        <v>2633</v>
      </c>
      <c r="I754" s="19"/>
      <c r="J754" s="18"/>
    </row>
    <row r="755" customFormat="false" ht="32.8" hidden="false" customHeight="false" outlineLevel="0" collapsed="false">
      <c r="A755" s="18" t="s">
        <v>1497</v>
      </c>
      <c r="B755" s="18" t="s">
        <v>53</v>
      </c>
      <c r="C755" s="18" t="s">
        <v>1255</v>
      </c>
      <c r="D755" s="18" t="s">
        <v>478</v>
      </c>
      <c r="E755" s="19" t="s">
        <v>1498</v>
      </c>
      <c r="F755" s="18" t="s">
        <v>2648</v>
      </c>
      <c r="G755" s="18" t="n">
        <v>0.25</v>
      </c>
      <c r="H755" s="18"/>
      <c r="I755" s="19" t="s">
        <v>2649</v>
      </c>
      <c r="J755" s="18"/>
    </row>
    <row r="756" customFormat="false" ht="32.8" hidden="false" customHeight="false" outlineLevel="0" collapsed="false">
      <c r="A756" s="18" t="s">
        <v>1499</v>
      </c>
      <c r="B756" s="18" t="s">
        <v>53</v>
      </c>
      <c r="C756" s="18" t="s">
        <v>1255</v>
      </c>
      <c r="D756" s="18" t="s">
        <v>478</v>
      </c>
      <c r="E756" s="19" t="s">
        <v>1500</v>
      </c>
      <c r="F756" s="18" t="s">
        <v>2630</v>
      </c>
      <c r="G756" s="18" t="n">
        <v>0.79</v>
      </c>
      <c r="H756" s="18" t="s">
        <v>2633</v>
      </c>
      <c r="I756" s="19"/>
      <c r="J756" s="18"/>
    </row>
    <row r="757" customFormat="false" ht="32.8" hidden="false" customHeight="false" outlineLevel="0" collapsed="false">
      <c r="A757" s="18" t="s">
        <v>1501</v>
      </c>
      <c r="B757" s="18" t="s">
        <v>53</v>
      </c>
      <c r="C757" s="18" t="s">
        <v>1255</v>
      </c>
      <c r="D757" s="18" t="s">
        <v>478</v>
      </c>
      <c r="E757" s="19" t="s">
        <v>1502</v>
      </c>
      <c r="F757" s="18" t="s">
        <v>2648</v>
      </c>
      <c r="G757" s="18" t="n">
        <v>0.28</v>
      </c>
      <c r="H757" s="18"/>
      <c r="I757" s="19" t="s">
        <v>2649</v>
      </c>
      <c r="J757" s="18"/>
    </row>
    <row r="758" customFormat="false" ht="15" hidden="false" customHeight="false" outlineLevel="0" collapsed="false">
      <c r="A758" s="18" t="s">
        <v>1503</v>
      </c>
      <c r="B758" s="18" t="s">
        <v>53</v>
      </c>
      <c r="C758" s="18" t="s">
        <v>1255</v>
      </c>
      <c r="D758" s="18" t="s">
        <v>478</v>
      </c>
      <c r="E758" s="19" t="s">
        <v>491</v>
      </c>
      <c r="F758" s="18" t="s">
        <v>2624</v>
      </c>
      <c r="G758" s="18" t="n">
        <v>1</v>
      </c>
      <c r="H758" s="18" t="s">
        <v>2650</v>
      </c>
      <c r="I758" s="19"/>
      <c r="J758" s="18"/>
    </row>
    <row r="759" customFormat="false" ht="15" hidden="false" customHeight="false" outlineLevel="0" collapsed="false">
      <c r="A759" s="18" t="s">
        <v>1504</v>
      </c>
      <c r="B759" s="18" t="s">
        <v>53</v>
      </c>
      <c r="C759" s="18" t="s">
        <v>1255</v>
      </c>
      <c r="D759" s="18" t="s">
        <v>478</v>
      </c>
      <c r="E759" s="19" t="s">
        <v>1505</v>
      </c>
      <c r="F759" s="18" t="s">
        <v>2624</v>
      </c>
      <c r="G759" s="18" t="n">
        <v>1</v>
      </c>
      <c r="H759" s="18" t="s">
        <v>2661</v>
      </c>
      <c r="I759" s="19"/>
      <c r="J759" s="18"/>
    </row>
    <row r="760" customFormat="false" ht="15" hidden="false" customHeight="false" outlineLevel="0" collapsed="false">
      <c r="A760" s="18" t="s">
        <v>1506</v>
      </c>
      <c r="B760" s="18" t="s">
        <v>53</v>
      </c>
      <c r="C760" s="18" t="s">
        <v>1255</v>
      </c>
      <c r="D760" s="18" t="s">
        <v>478</v>
      </c>
      <c r="E760" s="19" t="s">
        <v>1507</v>
      </c>
      <c r="F760" s="18" t="s">
        <v>2624</v>
      </c>
      <c r="G760" s="18" t="n">
        <v>1</v>
      </c>
      <c r="H760" s="18" t="s">
        <v>2663</v>
      </c>
      <c r="I760" s="19"/>
      <c r="J760" s="18"/>
    </row>
    <row r="761" customFormat="false" ht="15" hidden="false" customHeight="false" outlineLevel="0" collapsed="false">
      <c r="A761" s="18" t="s">
        <v>1508</v>
      </c>
      <c r="B761" s="18" t="s">
        <v>53</v>
      </c>
      <c r="C761" s="18" t="s">
        <v>1255</v>
      </c>
      <c r="D761" s="18" t="s">
        <v>478</v>
      </c>
      <c r="E761" s="19" t="s">
        <v>1509</v>
      </c>
      <c r="F761" s="18" t="s">
        <v>2624</v>
      </c>
      <c r="G761" s="18" t="n">
        <v>1</v>
      </c>
      <c r="H761" s="18" t="s">
        <v>2663</v>
      </c>
      <c r="I761" s="19"/>
      <c r="J761" s="18"/>
    </row>
    <row r="762" customFormat="false" ht="15" hidden="false" customHeight="false" outlineLevel="0" collapsed="false">
      <c r="A762" s="18" t="s">
        <v>1510</v>
      </c>
      <c r="B762" s="18" t="s">
        <v>53</v>
      </c>
      <c r="C762" s="18" t="s">
        <v>1255</v>
      </c>
      <c r="D762" s="18" t="s">
        <v>478</v>
      </c>
      <c r="E762" s="19" t="s">
        <v>1511</v>
      </c>
      <c r="F762" s="18" t="s">
        <v>2624</v>
      </c>
      <c r="G762" s="18" t="n">
        <v>1</v>
      </c>
      <c r="H762" s="18" t="s">
        <v>2663</v>
      </c>
      <c r="I762" s="19"/>
      <c r="J762" s="18"/>
    </row>
    <row r="763" customFormat="false" ht="15" hidden="false" customHeight="false" outlineLevel="0" collapsed="false">
      <c r="A763" s="18" t="s">
        <v>1512</v>
      </c>
      <c r="B763" s="18" t="s">
        <v>53</v>
      </c>
      <c r="C763" s="18" t="s">
        <v>1255</v>
      </c>
      <c r="D763" s="18" t="s">
        <v>478</v>
      </c>
      <c r="E763" s="19" t="s">
        <v>1513</v>
      </c>
      <c r="F763" s="18" t="s">
        <v>2624</v>
      </c>
      <c r="G763" s="18" t="n">
        <v>1</v>
      </c>
      <c r="H763" s="18" t="s">
        <v>2661</v>
      </c>
      <c r="I763" s="19"/>
      <c r="J763" s="18"/>
    </row>
    <row r="764" customFormat="false" ht="15" hidden="false" customHeight="false" outlineLevel="0" collapsed="false">
      <c r="A764" s="18" t="s">
        <v>1514</v>
      </c>
      <c r="B764" s="18" t="s">
        <v>53</v>
      </c>
      <c r="C764" s="18" t="s">
        <v>1255</v>
      </c>
      <c r="D764" s="18" t="s">
        <v>478</v>
      </c>
      <c r="E764" s="19" t="s">
        <v>720</v>
      </c>
      <c r="F764" s="18" t="s">
        <v>2624</v>
      </c>
      <c r="G764" s="18" t="n">
        <v>1</v>
      </c>
      <c r="H764" s="18" t="s">
        <v>2650</v>
      </c>
      <c r="I764" s="19"/>
      <c r="J764" s="18"/>
    </row>
    <row r="765" customFormat="false" ht="15" hidden="false" customHeight="false" outlineLevel="0" collapsed="false">
      <c r="A765" s="18" t="s">
        <v>1515</v>
      </c>
      <c r="B765" s="18" t="s">
        <v>53</v>
      </c>
      <c r="C765" s="18" t="s">
        <v>1255</v>
      </c>
      <c r="D765" s="18" t="s">
        <v>478</v>
      </c>
      <c r="E765" s="19" t="s">
        <v>1516</v>
      </c>
      <c r="F765" s="18" t="s">
        <v>2624</v>
      </c>
      <c r="G765" s="18" t="n">
        <v>1</v>
      </c>
      <c r="H765" s="18" t="s">
        <v>2661</v>
      </c>
      <c r="I765" s="19"/>
      <c r="J765" s="18"/>
    </row>
    <row r="766" customFormat="false" ht="15" hidden="false" customHeight="false" outlineLevel="0" collapsed="false">
      <c r="A766" s="18" t="s">
        <v>1517</v>
      </c>
      <c r="B766" s="18" t="s">
        <v>53</v>
      </c>
      <c r="C766" s="18" t="s">
        <v>1255</v>
      </c>
      <c r="D766" s="18" t="s">
        <v>478</v>
      </c>
      <c r="E766" s="19" t="s">
        <v>1518</v>
      </c>
      <c r="F766" s="18" t="s">
        <v>2624</v>
      </c>
      <c r="G766" s="18" t="n">
        <v>1</v>
      </c>
      <c r="H766" s="18" t="s">
        <v>2661</v>
      </c>
      <c r="I766" s="19"/>
      <c r="J766" s="18"/>
    </row>
    <row r="767" customFormat="false" ht="22.35" hidden="false" customHeight="false" outlineLevel="0" collapsed="false">
      <c r="A767" s="18" t="s">
        <v>1519</v>
      </c>
      <c r="B767" s="18" t="s">
        <v>53</v>
      </c>
      <c r="C767" s="18" t="s">
        <v>1255</v>
      </c>
      <c r="D767" s="18" t="s">
        <v>478</v>
      </c>
      <c r="E767" s="19" t="s">
        <v>1520</v>
      </c>
      <c r="F767" s="18" t="s">
        <v>2624</v>
      </c>
      <c r="G767" s="18" t="n">
        <v>1</v>
      </c>
      <c r="H767" s="18" t="s">
        <v>2661</v>
      </c>
      <c r="I767" s="19"/>
      <c r="J767" s="18"/>
    </row>
    <row r="768" customFormat="false" ht="32.8" hidden="false" customHeight="false" outlineLevel="0" collapsed="false">
      <c r="A768" s="18" t="s">
        <v>1521</v>
      </c>
      <c r="B768" s="18" t="s">
        <v>53</v>
      </c>
      <c r="C768" s="18" t="s">
        <v>1255</v>
      </c>
      <c r="D768" s="18" t="s">
        <v>478</v>
      </c>
      <c r="E768" s="19" t="s">
        <v>1522</v>
      </c>
      <c r="F768" s="18" t="s">
        <v>2631</v>
      </c>
      <c r="G768" s="18" t="n">
        <v>0.19</v>
      </c>
      <c r="H768" s="18"/>
      <c r="I768" s="19" t="s">
        <v>2658</v>
      </c>
      <c r="J768" s="18"/>
    </row>
    <row r="769" customFormat="false" ht="15" hidden="false" customHeight="false" outlineLevel="0" collapsed="false">
      <c r="A769" s="18" t="s">
        <v>1523</v>
      </c>
      <c r="B769" s="18" t="s">
        <v>55</v>
      </c>
      <c r="C769" s="18" t="s">
        <v>259</v>
      </c>
      <c r="D769" s="18" t="s">
        <v>158</v>
      </c>
      <c r="E769" s="19" t="s">
        <v>1524</v>
      </c>
      <c r="F769" s="18" t="s">
        <v>2636</v>
      </c>
      <c r="G769" s="18" t="n">
        <v>0</v>
      </c>
      <c r="H769" s="18"/>
      <c r="I769" s="19" t="s">
        <v>2637</v>
      </c>
      <c r="J769" s="18"/>
    </row>
    <row r="770" customFormat="false" ht="15" hidden="false" customHeight="false" outlineLevel="0" collapsed="false">
      <c r="A770" s="18" t="s">
        <v>1525</v>
      </c>
      <c r="B770" s="18" t="s">
        <v>55</v>
      </c>
      <c r="C770" s="18" t="s">
        <v>259</v>
      </c>
      <c r="D770" s="18" t="s">
        <v>158</v>
      </c>
      <c r="E770" s="19" t="s">
        <v>1526</v>
      </c>
      <c r="F770" s="18" t="s">
        <v>2636</v>
      </c>
      <c r="G770" s="18" t="n">
        <v>0.2</v>
      </c>
      <c r="H770" s="18"/>
      <c r="I770" s="19" t="s">
        <v>2637</v>
      </c>
      <c r="J770" s="18"/>
    </row>
    <row r="771" customFormat="false" ht="15" hidden="false" customHeight="false" outlineLevel="0" collapsed="false">
      <c r="A771" s="18" t="s">
        <v>1527</v>
      </c>
      <c r="B771" s="18" t="s">
        <v>55</v>
      </c>
      <c r="C771" s="18" t="s">
        <v>259</v>
      </c>
      <c r="D771" s="18" t="s">
        <v>93</v>
      </c>
      <c r="E771" s="19" t="s">
        <v>92</v>
      </c>
      <c r="F771" s="18" t="s">
        <v>2624</v>
      </c>
      <c r="G771" s="18" t="n">
        <v>1</v>
      </c>
      <c r="H771" s="18" t="s">
        <v>2625</v>
      </c>
      <c r="I771" s="19"/>
      <c r="J771" s="18"/>
    </row>
    <row r="772" customFormat="false" ht="15" hidden="false" customHeight="false" outlineLevel="0" collapsed="false">
      <c r="A772" s="18" t="s">
        <v>1528</v>
      </c>
      <c r="B772" s="18" t="s">
        <v>55</v>
      </c>
      <c r="C772" s="18" t="s">
        <v>259</v>
      </c>
      <c r="D772" s="18" t="s">
        <v>93</v>
      </c>
      <c r="E772" s="19" t="s">
        <v>99</v>
      </c>
      <c r="F772" s="18" t="s">
        <v>2627</v>
      </c>
      <c r="G772" s="18" t="n">
        <v>0</v>
      </c>
      <c r="H772" s="18"/>
      <c r="I772" s="19" t="s">
        <v>2628</v>
      </c>
      <c r="J772" s="18"/>
    </row>
    <row r="773" customFormat="false" ht="15" hidden="false" customHeight="false" outlineLevel="0" collapsed="false">
      <c r="A773" s="18" t="s">
        <v>1529</v>
      </c>
      <c r="B773" s="18" t="s">
        <v>55</v>
      </c>
      <c r="C773" s="18" t="s">
        <v>259</v>
      </c>
      <c r="D773" s="18" t="s">
        <v>93</v>
      </c>
      <c r="E773" s="19" t="s">
        <v>948</v>
      </c>
      <c r="F773" s="18" t="s">
        <v>2627</v>
      </c>
      <c r="G773" s="18" t="n">
        <v>0</v>
      </c>
      <c r="H773" s="18"/>
      <c r="I773" s="19" t="s">
        <v>2628</v>
      </c>
      <c r="J773" s="18"/>
    </row>
    <row r="774" customFormat="false" ht="15" hidden="false" customHeight="false" outlineLevel="0" collapsed="false">
      <c r="A774" s="18" t="s">
        <v>1530</v>
      </c>
      <c r="B774" s="18" t="s">
        <v>55</v>
      </c>
      <c r="C774" s="18" t="s">
        <v>259</v>
      </c>
      <c r="D774" s="18" t="s">
        <v>93</v>
      </c>
      <c r="E774" s="19" t="s">
        <v>1531</v>
      </c>
      <c r="F774" s="18" t="s">
        <v>2627</v>
      </c>
      <c r="G774" s="18" t="n">
        <v>0</v>
      </c>
      <c r="H774" s="18"/>
      <c r="I774" s="19" t="s">
        <v>2628</v>
      </c>
      <c r="J774" s="18"/>
    </row>
    <row r="775" customFormat="false" ht="15" hidden="false" customHeight="false" outlineLevel="0" collapsed="false">
      <c r="A775" s="18" t="s">
        <v>1532</v>
      </c>
      <c r="B775" s="18" t="s">
        <v>55</v>
      </c>
      <c r="C775" s="18" t="s">
        <v>259</v>
      </c>
      <c r="D775" s="18" t="s">
        <v>93</v>
      </c>
      <c r="E775" s="19" t="s">
        <v>1533</v>
      </c>
      <c r="F775" s="18" t="s">
        <v>2627</v>
      </c>
      <c r="G775" s="18" t="n">
        <v>0</v>
      </c>
      <c r="H775" s="18"/>
      <c r="I775" s="19" t="s">
        <v>2628</v>
      </c>
      <c r="J775" s="18"/>
    </row>
    <row r="776" customFormat="false" ht="22.35" hidden="false" customHeight="false" outlineLevel="0" collapsed="false">
      <c r="A776" s="18" t="s">
        <v>1534</v>
      </c>
      <c r="B776" s="18" t="s">
        <v>55</v>
      </c>
      <c r="C776" s="18" t="s">
        <v>259</v>
      </c>
      <c r="D776" s="18" t="s">
        <v>93</v>
      </c>
      <c r="E776" s="19" t="s">
        <v>1535</v>
      </c>
      <c r="F776" s="18" t="s">
        <v>2627</v>
      </c>
      <c r="G776" s="18" t="n">
        <v>0.08</v>
      </c>
      <c r="H776" s="18"/>
      <c r="I776" s="19" t="s">
        <v>2628</v>
      </c>
      <c r="J776" s="18"/>
    </row>
    <row r="777" customFormat="false" ht="22.35" hidden="false" customHeight="false" outlineLevel="0" collapsed="false">
      <c r="A777" s="18" t="s">
        <v>1536</v>
      </c>
      <c r="B777" s="18" t="s">
        <v>55</v>
      </c>
      <c r="C777" s="18" t="s">
        <v>259</v>
      </c>
      <c r="D777" s="18" t="s">
        <v>93</v>
      </c>
      <c r="E777" s="19" t="s">
        <v>272</v>
      </c>
      <c r="F777" s="18" t="s">
        <v>2627</v>
      </c>
      <c r="G777" s="18" t="n">
        <v>0.31</v>
      </c>
      <c r="H777" s="18" t="s">
        <v>2625</v>
      </c>
      <c r="I777" s="19" t="s">
        <v>2628</v>
      </c>
      <c r="J777" s="18"/>
    </row>
    <row r="778" customFormat="false" ht="53.7" hidden="false" customHeight="false" outlineLevel="0" collapsed="false">
      <c r="A778" s="18" t="s">
        <v>1537</v>
      </c>
      <c r="B778" s="18" t="s">
        <v>55</v>
      </c>
      <c r="C778" s="18" t="s">
        <v>259</v>
      </c>
      <c r="D778" s="18" t="s">
        <v>93</v>
      </c>
      <c r="E778" s="19" t="s">
        <v>1538</v>
      </c>
      <c r="F778" s="18" t="s">
        <v>2627</v>
      </c>
      <c r="G778" s="18" t="n">
        <v>0.04</v>
      </c>
      <c r="H778" s="18"/>
      <c r="I778" s="19" t="s">
        <v>2628</v>
      </c>
      <c r="J778" s="18"/>
    </row>
    <row r="779" customFormat="false" ht="15" hidden="false" customHeight="false" outlineLevel="0" collapsed="false">
      <c r="A779" s="18" t="s">
        <v>1539</v>
      </c>
      <c r="B779" s="18" t="s">
        <v>55</v>
      </c>
      <c r="C779" s="18" t="s">
        <v>259</v>
      </c>
      <c r="D779" s="18" t="s">
        <v>93</v>
      </c>
      <c r="E779" s="19" t="s">
        <v>1540</v>
      </c>
      <c r="F779" s="18" t="s">
        <v>2624</v>
      </c>
      <c r="G779" s="18" t="n">
        <v>1</v>
      </c>
      <c r="H779" s="18" t="s">
        <v>2625</v>
      </c>
      <c r="I779" s="19"/>
      <c r="J779" s="18"/>
    </row>
    <row r="780" customFormat="false" ht="15" hidden="false" customHeight="false" outlineLevel="0" collapsed="false">
      <c r="A780" s="18" t="s">
        <v>1541</v>
      </c>
      <c r="B780" s="18" t="s">
        <v>55</v>
      </c>
      <c r="C780" s="18" t="s">
        <v>259</v>
      </c>
      <c r="D780" s="18" t="s">
        <v>93</v>
      </c>
      <c r="E780" s="19" t="s">
        <v>115</v>
      </c>
      <c r="F780" s="18" t="s">
        <v>2627</v>
      </c>
      <c r="G780" s="18" t="n">
        <v>0</v>
      </c>
      <c r="H780" s="18"/>
      <c r="I780" s="19" t="s">
        <v>2628</v>
      </c>
      <c r="J780" s="18"/>
    </row>
    <row r="781" customFormat="false" ht="15" hidden="false" customHeight="false" outlineLevel="0" collapsed="false">
      <c r="A781" s="18" t="s">
        <v>1542</v>
      </c>
      <c r="B781" s="18" t="s">
        <v>55</v>
      </c>
      <c r="C781" s="18" t="s">
        <v>259</v>
      </c>
      <c r="D781" s="18" t="s">
        <v>93</v>
      </c>
      <c r="E781" s="19" t="s">
        <v>1543</v>
      </c>
      <c r="F781" s="18" t="s">
        <v>2627</v>
      </c>
      <c r="G781" s="18" t="n">
        <v>0</v>
      </c>
      <c r="H781" s="18"/>
      <c r="I781" s="19" t="s">
        <v>2628</v>
      </c>
      <c r="J781" s="18"/>
    </row>
    <row r="782" customFormat="false" ht="15" hidden="false" customHeight="false" outlineLevel="0" collapsed="false">
      <c r="A782" s="18" t="s">
        <v>1544</v>
      </c>
      <c r="B782" s="18" t="s">
        <v>55</v>
      </c>
      <c r="C782" s="18" t="s">
        <v>259</v>
      </c>
      <c r="D782" s="18" t="s">
        <v>93</v>
      </c>
      <c r="E782" s="19" t="s">
        <v>1545</v>
      </c>
      <c r="F782" s="18" t="s">
        <v>2627</v>
      </c>
      <c r="G782" s="18" t="n">
        <v>0.55</v>
      </c>
      <c r="H782" s="18" t="s">
        <v>2625</v>
      </c>
      <c r="I782" s="19" t="s">
        <v>2628</v>
      </c>
      <c r="J782" s="18"/>
    </row>
    <row r="783" customFormat="false" ht="15" hidden="false" customHeight="false" outlineLevel="0" collapsed="false">
      <c r="A783" s="18" t="s">
        <v>1546</v>
      </c>
      <c r="B783" s="18" t="s">
        <v>55</v>
      </c>
      <c r="C783" s="18" t="s">
        <v>259</v>
      </c>
      <c r="D783" s="18" t="s">
        <v>93</v>
      </c>
      <c r="E783" s="19" t="s">
        <v>1547</v>
      </c>
      <c r="F783" s="18" t="s">
        <v>2624</v>
      </c>
      <c r="G783" s="18" t="n">
        <v>1</v>
      </c>
      <c r="H783" s="18" t="s">
        <v>2625</v>
      </c>
      <c r="I783" s="19"/>
      <c r="J783" s="18"/>
    </row>
    <row r="784" customFormat="false" ht="15" hidden="false" customHeight="false" outlineLevel="0" collapsed="false">
      <c r="A784" s="18" t="s">
        <v>1548</v>
      </c>
      <c r="B784" s="18" t="s">
        <v>55</v>
      </c>
      <c r="C784" s="18" t="s">
        <v>259</v>
      </c>
      <c r="D784" s="18" t="s">
        <v>93</v>
      </c>
      <c r="E784" s="19" t="s">
        <v>1549</v>
      </c>
      <c r="F784" s="18" t="s">
        <v>2624</v>
      </c>
      <c r="G784" s="18" t="n">
        <v>1</v>
      </c>
      <c r="H784" s="18" t="s">
        <v>2625</v>
      </c>
      <c r="I784" s="19"/>
      <c r="J784" s="18"/>
    </row>
    <row r="785" customFormat="false" ht="15" hidden="false" customHeight="false" outlineLevel="0" collapsed="false">
      <c r="A785" s="18" t="s">
        <v>1550</v>
      </c>
      <c r="B785" s="18" t="s">
        <v>55</v>
      </c>
      <c r="C785" s="18" t="s">
        <v>259</v>
      </c>
      <c r="D785" s="18" t="s">
        <v>93</v>
      </c>
      <c r="E785" s="19" t="s">
        <v>1551</v>
      </c>
      <c r="F785" s="18" t="s">
        <v>2624</v>
      </c>
      <c r="G785" s="18" t="n">
        <v>1</v>
      </c>
      <c r="H785" s="18" t="s">
        <v>2625</v>
      </c>
      <c r="I785" s="19"/>
      <c r="J785" s="18"/>
    </row>
    <row r="786" customFormat="false" ht="15" hidden="false" customHeight="false" outlineLevel="0" collapsed="false">
      <c r="A786" s="18" t="s">
        <v>1552</v>
      </c>
      <c r="B786" s="18" t="s">
        <v>55</v>
      </c>
      <c r="C786" s="18" t="s">
        <v>259</v>
      </c>
      <c r="D786" s="18" t="s">
        <v>93</v>
      </c>
      <c r="E786" s="19" t="s">
        <v>1553</v>
      </c>
      <c r="F786" s="18" t="s">
        <v>2624</v>
      </c>
      <c r="G786" s="18" t="n">
        <v>1</v>
      </c>
      <c r="H786" s="18" t="s">
        <v>2625</v>
      </c>
      <c r="I786" s="19"/>
      <c r="J786" s="18"/>
    </row>
    <row r="787" customFormat="false" ht="15" hidden="false" customHeight="false" outlineLevel="0" collapsed="false">
      <c r="A787" s="18" t="s">
        <v>1554</v>
      </c>
      <c r="B787" s="18" t="s">
        <v>55</v>
      </c>
      <c r="C787" s="18" t="s">
        <v>259</v>
      </c>
      <c r="D787" s="18" t="s">
        <v>93</v>
      </c>
      <c r="E787" s="19" t="s">
        <v>1555</v>
      </c>
      <c r="F787" s="18" t="s">
        <v>2627</v>
      </c>
      <c r="G787" s="18" t="n">
        <v>0.22</v>
      </c>
      <c r="H787" s="18"/>
      <c r="I787" s="19" t="s">
        <v>2628</v>
      </c>
      <c r="J787" s="18"/>
    </row>
    <row r="788" customFormat="false" ht="15" hidden="false" customHeight="false" outlineLevel="0" collapsed="false">
      <c r="A788" s="18" t="s">
        <v>1556</v>
      </c>
      <c r="B788" s="18" t="s">
        <v>55</v>
      </c>
      <c r="C788" s="18" t="s">
        <v>259</v>
      </c>
      <c r="D788" s="18" t="s">
        <v>93</v>
      </c>
      <c r="E788" s="19" t="s">
        <v>1557</v>
      </c>
      <c r="F788" s="18" t="s">
        <v>2627</v>
      </c>
      <c r="G788" s="18" t="n">
        <v>0.17</v>
      </c>
      <c r="H788" s="18"/>
      <c r="I788" s="19" t="s">
        <v>2628</v>
      </c>
      <c r="J788" s="18"/>
    </row>
    <row r="789" customFormat="false" ht="15" hidden="false" customHeight="false" outlineLevel="0" collapsed="false">
      <c r="A789" s="18" t="s">
        <v>1558</v>
      </c>
      <c r="B789" s="18" t="s">
        <v>55</v>
      </c>
      <c r="C789" s="18" t="s">
        <v>259</v>
      </c>
      <c r="D789" s="18" t="s">
        <v>93</v>
      </c>
      <c r="E789" s="19" t="s">
        <v>130</v>
      </c>
      <c r="F789" s="18" t="s">
        <v>2627</v>
      </c>
      <c r="G789" s="18" t="n">
        <v>0</v>
      </c>
      <c r="H789" s="18"/>
      <c r="I789" s="19" t="s">
        <v>2628</v>
      </c>
      <c r="J789" s="18"/>
    </row>
    <row r="790" customFormat="false" ht="15" hidden="false" customHeight="false" outlineLevel="0" collapsed="false">
      <c r="A790" s="18" t="s">
        <v>1559</v>
      </c>
      <c r="B790" s="18" t="s">
        <v>55</v>
      </c>
      <c r="C790" s="18" t="s">
        <v>259</v>
      </c>
      <c r="D790" s="18" t="s">
        <v>158</v>
      </c>
      <c r="E790" s="19" t="s">
        <v>1560</v>
      </c>
      <c r="F790" s="18" t="s">
        <v>2624</v>
      </c>
      <c r="G790" s="18" t="n">
        <v>1</v>
      </c>
      <c r="H790" s="18" t="s">
        <v>2665</v>
      </c>
      <c r="I790" s="19"/>
      <c r="J790" s="18"/>
    </row>
    <row r="791" customFormat="false" ht="22.35" hidden="false" customHeight="false" outlineLevel="0" collapsed="false">
      <c r="A791" s="18" t="s">
        <v>1561</v>
      </c>
      <c r="B791" s="18" t="s">
        <v>55</v>
      </c>
      <c r="C791" s="18" t="s">
        <v>259</v>
      </c>
      <c r="D791" s="18" t="s">
        <v>164</v>
      </c>
      <c r="E791" s="19" t="s">
        <v>1562</v>
      </c>
      <c r="F791" s="18" t="s">
        <v>2624</v>
      </c>
      <c r="G791" s="18" t="n">
        <v>1</v>
      </c>
      <c r="H791" s="18" t="s">
        <v>2625</v>
      </c>
      <c r="I791" s="19"/>
      <c r="J791" s="18"/>
    </row>
    <row r="792" customFormat="false" ht="22.35" hidden="false" customHeight="false" outlineLevel="0" collapsed="false">
      <c r="A792" s="18" t="s">
        <v>1563</v>
      </c>
      <c r="B792" s="18" t="s">
        <v>55</v>
      </c>
      <c r="C792" s="18" t="s">
        <v>259</v>
      </c>
      <c r="D792" s="18" t="s">
        <v>164</v>
      </c>
      <c r="E792" s="19" t="s">
        <v>1564</v>
      </c>
      <c r="F792" s="18" t="s">
        <v>2624</v>
      </c>
      <c r="G792" s="18" t="n">
        <v>1</v>
      </c>
      <c r="H792" s="18" t="s">
        <v>2625</v>
      </c>
      <c r="I792" s="19"/>
      <c r="J792" s="18"/>
    </row>
    <row r="793" customFormat="false" ht="32.8" hidden="false" customHeight="false" outlineLevel="0" collapsed="false">
      <c r="A793" s="18" t="s">
        <v>1565</v>
      </c>
      <c r="B793" s="18" t="s">
        <v>55</v>
      </c>
      <c r="C793" s="18" t="s">
        <v>259</v>
      </c>
      <c r="D793" s="18" t="s">
        <v>164</v>
      </c>
      <c r="E793" s="19" t="s">
        <v>1566</v>
      </c>
      <c r="F793" s="18" t="s">
        <v>2624</v>
      </c>
      <c r="G793" s="18" t="n">
        <v>1</v>
      </c>
      <c r="H793" s="18" t="s">
        <v>2625</v>
      </c>
      <c r="I793" s="19"/>
      <c r="J793" s="18"/>
    </row>
    <row r="794" customFormat="false" ht="15" hidden="false" customHeight="false" outlineLevel="0" collapsed="false">
      <c r="A794" s="18" t="s">
        <v>1567</v>
      </c>
      <c r="B794" s="18" t="s">
        <v>55</v>
      </c>
      <c r="C794" s="18" t="s">
        <v>259</v>
      </c>
      <c r="D794" s="18" t="s">
        <v>164</v>
      </c>
      <c r="E794" s="19" t="s">
        <v>1568</v>
      </c>
      <c r="F794" s="18" t="s">
        <v>2624</v>
      </c>
      <c r="G794" s="18" t="n">
        <v>1</v>
      </c>
      <c r="H794" s="18" t="s">
        <v>2665</v>
      </c>
      <c r="I794" s="19"/>
      <c r="J794" s="18"/>
    </row>
    <row r="795" customFormat="false" ht="22.35" hidden="false" customHeight="false" outlineLevel="0" collapsed="false">
      <c r="A795" s="18" t="s">
        <v>1569</v>
      </c>
      <c r="B795" s="18" t="s">
        <v>55</v>
      </c>
      <c r="C795" s="18" t="s">
        <v>259</v>
      </c>
      <c r="D795" s="18" t="s">
        <v>164</v>
      </c>
      <c r="E795" s="19" t="s">
        <v>1570</v>
      </c>
      <c r="F795" s="18" t="s">
        <v>2624</v>
      </c>
      <c r="G795" s="18" t="n">
        <v>1</v>
      </c>
      <c r="H795" s="18" t="s">
        <v>2625</v>
      </c>
      <c r="I795" s="19"/>
      <c r="J795" s="18"/>
    </row>
    <row r="796" customFormat="false" ht="22.35" hidden="false" customHeight="false" outlineLevel="0" collapsed="false">
      <c r="A796" s="18" t="s">
        <v>1571</v>
      </c>
      <c r="B796" s="18" t="s">
        <v>55</v>
      </c>
      <c r="C796" s="18" t="s">
        <v>259</v>
      </c>
      <c r="D796" s="18" t="s">
        <v>164</v>
      </c>
      <c r="E796" s="19" t="s">
        <v>1572</v>
      </c>
      <c r="F796" s="18" t="s">
        <v>2624</v>
      </c>
      <c r="G796" s="18" t="n">
        <v>1</v>
      </c>
      <c r="H796" s="18" t="s">
        <v>2625</v>
      </c>
      <c r="I796" s="19"/>
      <c r="J796" s="18"/>
    </row>
    <row r="797" customFormat="false" ht="15" hidden="false" customHeight="false" outlineLevel="0" collapsed="false">
      <c r="A797" s="18" t="s">
        <v>1573</v>
      </c>
      <c r="B797" s="18" t="s">
        <v>55</v>
      </c>
      <c r="C797" s="18" t="s">
        <v>259</v>
      </c>
      <c r="D797" s="18" t="s">
        <v>164</v>
      </c>
      <c r="E797" s="19" t="s">
        <v>1574</v>
      </c>
      <c r="F797" s="18" t="s">
        <v>2624</v>
      </c>
      <c r="G797" s="18" t="n">
        <v>1</v>
      </c>
      <c r="H797" s="18" t="s">
        <v>2625</v>
      </c>
      <c r="I797" s="19"/>
      <c r="J797" s="18"/>
    </row>
    <row r="798" customFormat="false" ht="15" hidden="false" customHeight="false" outlineLevel="0" collapsed="false">
      <c r="A798" s="18" t="s">
        <v>1575</v>
      </c>
      <c r="B798" s="18" t="s">
        <v>55</v>
      </c>
      <c r="C798" s="18" t="s">
        <v>259</v>
      </c>
      <c r="D798" s="18" t="s">
        <v>164</v>
      </c>
      <c r="E798" s="19" t="s">
        <v>1576</v>
      </c>
      <c r="F798" s="18" t="s">
        <v>2624</v>
      </c>
      <c r="G798" s="18" t="n">
        <v>1</v>
      </c>
      <c r="H798" s="18" t="s">
        <v>2665</v>
      </c>
      <c r="I798" s="19"/>
      <c r="J798" s="18"/>
    </row>
    <row r="799" customFormat="false" ht="22.35" hidden="false" customHeight="false" outlineLevel="0" collapsed="false">
      <c r="A799" s="18" t="s">
        <v>1577</v>
      </c>
      <c r="B799" s="18" t="s">
        <v>55</v>
      </c>
      <c r="C799" s="18" t="s">
        <v>259</v>
      </c>
      <c r="D799" s="18" t="s">
        <v>164</v>
      </c>
      <c r="E799" s="19" t="s">
        <v>1578</v>
      </c>
      <c r="F799" s="18" t="s">
        <v>2624</v>
      </c>
      <c r="G799" s="18" t="n">
        <v>1</v>
      </c>
      <c r="H799" s="18" t="s">
        <v>2625</v>
      </c>
      <c r="I799" s="19"/>
      <c r="J799" s="18"/>
    </row>
    <row r="800" customFormat="false" ht="53.7" hidden="false" customHeight="false" outlineLevel="0" collapsed="false">
      <c r="A800" s="18" t="s">
        <v>1579</v>
      </c>
      <c r="B800" s="18" t="s">
        <v>55</v>
      </c>
      <c r="C800" s="18" t="s">
        <v>259</v>
      </c>
      <c r="D800" s="18" t="s">
        <v>164</v>
      </c>
      <c r="E800" s="19" t="s">
        <v>1580</v>
      </c>
      <c r="F800" s="18" t="s">
        <v>2624</v>
      </c>
      <c r="G800" s="18" t="n">
        <v>1</v>
      </c>
      <c r="H800" s="18" t="s">
        <v>2625</v>
      </c>
      <c r="I800" s="19"/>
      <c r="J800" s="18"/>
    </row>
    <row r="801" customFormat="false" ht="15" hidden="false" customHeight="false" outlineLevel="0" collapsed="false">
      <c r="A801" s="18" t="s">
        <v>1581</v>
      </c>
      <c r="B801" s="18" t="s">
        <v>55</v>
      </c>
      <c r="C801" s="18" t="s">
        <v>259</v>
      </c>
      <c r="D801" s="18" t="s">
        <v>164</v>
      </c>
      <c r="E801" s="19" t="s">
        <v>1582</v>
      </c>
      <c r="F801" s="18" t="s">
        <v>2624</v>
      </c>
      <c r="G801" s="18" t="n">
        <v>1</v>
      </c>
      <c r="H801" s="18" t="s">
        <v>2625</v>
      </c>
      <c r="I801" s="19"/>
      <c r="J801" s="18"/>
    </row>
    <row r="802" customFormat="false" ht="15" hidden="false" customHeight="false" outlineLevel="0" collapsed="false">
      <c r="A802" s="18" t="s">
        <v>1583</v>
      </c>
      <c r="B802" s="18" t="s">
        <v>55</v>
      </c>
      <c r="C802" s="18" t="s">
        <v>259</v>
      </c>
      <c r="D802" s="18" t="s">
        <v>164</v>
      </c>
      <c r="E802" s="19" t="s">
        <v>1584</v>
      </c>
      <c r="F802" s="18" t="s">
        <v>2624</v>
      </c>
      <c r="G802" s="18" t="n">
        <v>1</v>
      </c>
      <c r="H802" s="18" t="s">
        <v>2665</v>
      </c>
      <c r="I802" s="19"/>
      <c r="J802" s="18"/>
    </row>
    <row r="803" customFormat="false" ht="22.35" hidden="false" customHeight="false" outlineLevel="0" collapsed="false">
      <c r="A803" s="18" t="s">
        <v>1585</v>
      </c>
      <c r="B803" s="18" t="s">
        <v>55</v>
      </c>
      <c r="C803" s="18" t="s">
        <v>259</v>
      </c>
      <c r="D803" s="18" t="s">
        <v>164</v>
      </c>
      <c r="E803" s="19" t="s">
        <v>1586</v>
      </c>
      <c r="F803" s="18" t="s">
        <v>2624</v>
      </c>
      <c r="G803" s="18" t="n">
        <v>1</v>
      </c>
      <c r="H803" s="18" t="s">
        <v>2625</v>
      </c>
      <c r="I803" s="19"/>
      <c r="J803" s="18"/>
    </row>
    <row r="804" customFormat="false" ht="32.8" hidden="false" customHeight="false" outlineLevel="0" collapsed="false">
      <c r="A804" s="18" t="s">
        <v>1587</v>
      </c>
      <c r="B804" s="18" t="s">
        <v>55</v>
      </c>
      <c r="C804" s="18" t="s">
        <v>259</v>
      </c>
      <c r="D804" s="18" t="s">
        <v>164</v>
      </c>
      <c r="E804" s="19" t="s">
        <v>1588</v>
      </c>
      <c r="F804" s="18" t="s">
        <v>2624</v>
      </c>
      <c r="G804" s="18" t="n">
        <v>1</v>
      </c>
      <c r="H804" s="18" t="s">
        <v>2625</v>
      </c>
      <c r="I804" s="19"/>
      <c r="J804" s="18"/>
    </row>
    <row r="805" customFormat="false" ht="22.35" hidden="false" customHeight="false" outlineLevel="0" collapsed="false">
      <c r="A805" s="18" t="s">
        <v>1589</v>
      </c>
      <c r="B805" s="18" t="s">
        <v>55</v>
      </c>
      <c r="C805" s="18" t="s">
        <v>259</v>
      </c>
      <c r="D805" s="18" t="s">
        <v>164</v>
      </c>
      <c r="E805" s="19" t="s">
        <v>1590</v>
      </c>
      <c r="F805" s="18" t="s">
        <v>2624</v>
      </c>
      <c r="G805" s="18" t="n">
        <v>1</v>
      </c>
      <c r="H805" s="18" t="s">
        <v>2625</v>
      </c>
      <c r="I805" s="19"/>
      <c r="J805" s="18"/>
    </row>
    <row r="806" customFormat="false" ht="32.8" hidden="false" customHeight="false" outlineLevel="0" collapsed="false">
      <c r="A806" s="18" t="s">
        <v>1591</v>
      </c>
      <c r="B806" s="18" t="s">
        <v>55</v>
      </c>
      <c r="C806" s="18" t="s">
        <v>259</v>
      </c>
      <c r="D806" s="18" t="s">
        <v>164</v>
      </c>
      <c r="E806" s="19" t="s">
        <v>1592</v>
      </c>
      <c r="F806" s="18" t="s">
        <v>2624</v>
      </c>
      <c r="G806" s="18" t="n">
        <v>1</v>
      </c>
      <c r="H806" s="18" t="s">
        <v>2625</v>
      </c>
      <c r="I806" s="19"/>
      <c r="J806" s="18"/>
    </row>
    <row r="807" customFormat="false" ht="22.35" hidden="false" customHeight="false" outlineLevel="0" collapsed="false">
      <c r="A807" s="18" t="s">
        <v>1593</v>
      </c>
      <c r="B807" s="18" t="s">
        <v>55</v>
      </c>
      <c r="C807" s="18" t="s">
        <v>259</v>
      </c>
      <c r="D807" s="18" t="s">
        <v>164</v>
      </c>
      <c r="E807" s="19" t="s">
        <v>1594</v>
      </c>
      <c r="F807" s="18" t="s">
        <v>2624</v>
      </c>
      <c r="G807" s="18" t="n">
        <v>1</v>
      </c>
      <c r="H807" s="18" t="s">
        <v>2625</v>
      </c>
      <c r="I807" s="19"/>
      <c r="J807" s="18"/>
    </row>
    <row r="808" customFormat="false" ht="22.35" hidden="false" customHeight="false" outlineLevel="0" collapsed="false">
      <c r="A808" s="18" t="s">
        <v>1595</v>
      </c>
      <c r="B808" s="18" t="s">
        <v>55</v>
      </c>
      <c r="C808" s="18" t="s">
        <v>259</v>
      </c>
      <c r="D808" s="18" t="s">
        <v>175</v>
      </c>
      <c r="E808" s="19" t="s">
        <v>1596</v>
      </c>
      <c r="F808" s="18" t="s">
        <v>2624</v>
      </c>
      <c r="G808" s="18" t="n">
        <v>1</v>
      </c>
      <c r="H808" s="18" t="s">
        <v>2625</v>
      </c>
      <c r="I808" s="19"/>
      <c r="J808" s="18"/>
    </row>
    <row r="809" customFormat="false" ht="15" hidden="false" customHeight="false" outlineLevel="0" collapsed="false">
      <c r="A809" s="18" t="s">
        <v>1597</v>
      </c>
      <c r="B809" s="18" t="s">
        <v>55</v>
      </c>
      <c r="C809" s="18" t="s">
        <v>259</v>
      </c>
      <c r="D809" s="18" t="s">
        <v>84</v>
      </c>
      <c r="E809" s="19" t="s">
        <v>1598</v>
      </c>
      <c r="F809" s="18" t="s">
        <v>2624</v>
      </c>
      <c r="G809" s="18" t="n">
        <v>1</v>
      </c>
      <c r="H809" s="18" t="s">
        <v>2625</v>
      </c>
      <c r="I809" s="19"/>
      <c r="J809" s="18"/>
    </row>
    <row r="810" customFormat="false" ht="15" hidden="false" customHeight="false" outlineLevel="0" collapsed="false">
      <c r="A810" s="18" t="s">
        <v>1599</v>
      </c>
      <c r="B810" s="18" t="s">
        <v>55</v>
      </c>
      <c r="C810" s="18" t="s">
        <v>259</v>
      </c>
      <c r="D810" s="18" t="s">
        <v>84</v>
      </c>
      <c r="E810" s="19" t="s">
        <v>1600</v>
      </c>
      <c r="F810" s="18" t="s">
        <v>2624</v>
      </c>
      <c r="G810" s="18" t="n">
        <v>1</v>
      </c>
      <c r="H810" s="18" t="s">
        <v>2625</v>
      </c>
      <c r="I810" s="19"/>
      <c r="J810" s="18"/>
    </row>
    <row r="811" customFormat="false" ht="32.8" hidden="false" customHeight="false" outlineLevel="0" collapsed="false">
      <c r="A811" s="18" t="s">
        <v>1601</v>
      </c>
      <c r="B811" s="18" t="s">
        <v>55</v>
      </c>
      <c r="C811" s="18" t="s">
        <v>259</v>
      </c>
      <c r="D811" s="18" t="s">
        <v>84</v>
      </c>
      <c r="E811" s="19" t="s">
        <v>216</v>
      </c>
      <c r="F811" s="18" t="s">
        <v>2630</v>
      </c>
      <c r="G811" s="18" t="n">
        <v>0.55</v>
      </c>
      <c r="H811" s="18" t="s">
        <v>2633</v>
      </c>
      <c r="I811" s="19"/>
      <c r="J811" s="18"/>
    </row>
    <row r="812" customFormat="false" ht="22.35" hidden="false" customHeight="false" outlineLevel="0" collapsed="false">
      <c r="A812" s="18" t="s">
        <v>1602</v>
      </c>
      <c r="B812" s="18" t="s">
        <v>55</v>
      </c>
      <c r="C812" s="18" t="s">
        <v>259</v>
      </c>
      <c r="D812" s="18" t="s">
        <v>84</v>
      </c>
      <c r="E812" s="19" t="s">
        <v>1603</v>
      </c>
      <c r="F812" s="18" t="s">
        <v>2624</v>
      </c>
      <c r="G812" s="18" t="n">
        <v>1</v>
      </c>
      <c r="H812" s="18" t="s">
        <v>2625</v>
      </c>
      <c r="I812" s="19"/>
      <c r="J812" s="18"/>
    </row>
    <row r="813" customFormat="false" ht="15" hidden="false" customHeight="false" outlineLevel="0" collapsed="false">
      <c r="A813" s="18" t="s">
        <v>1604</v>
      </c>
      <c r="B813" s="18" t="s">
        <v>55</v>
      </c>
      <c r="C813" s="18" t="s">
        <v>259</v>
      </c>
      <c r="D813" s="18" t="s">
        <v>84</v>
      </c>
      <c r="E813" s="19" t="s">
        <v>1605</v>
      </c>
      <c r="F813" s="18" t="s">
        <v>2624</v>
      </c>
      <c r="G813" s="18" t="n">
        <v>1</v>
      </c>
      <c r="H813" s="18" t="s">
        <v>2625</v>
      </c>
      <c r="I813" s="19"/>
      <c r="J813" s="18"/>
    </row>
    <row r="814" customFormat="false" ht="22.35" hidden="false" customHeight="false" outlineLevel="0" collapsed="false">
      <c r="A814" s="18" t="s">
        <v>1606</v>
      </c>
      <c r="B814" s="18" t="s">
        <v>55</v>
      </c>
      <c r="C814" s="18" t="s">
        <v>259</v>
      </c>
      <c r="D814" s="18" t="s">
        <v>84</v>
      </c>
      <c r="E814" s="19" t="s">
        <v>1607</v>
      </c>
      <c r="F814" s="18" t="s">
        <v>2624</v>
      </c>
      <c r="G814" s="18" t="n">
        <v>1</v>
      </c>
      <c r="H814" s="18" t="s">
        <v>2641</v>
      </c>
      <c r="I814" s="19"/>
      <c r="J814" s="18"/>
    </row>
    <row r="815" customFormat="false" ht="22.35" hidden="false" customHeight="false" outlineLevel="0" collapsed="false">
      <c r="A815" s="18" t="s">
        <v>1608</v>
      </c>
      <c r="B815" s="18" t="s">
        <v>55</v>
      </c>
      <c r="C815" s="18" t="s">
        <v>259</v>
      </c>
      <c r="D815" s="18" t="s">
        <v>84</v>
      </c>
      <c r="E815" s="19" t="s">
        <v>1609</v>
      </c>
      <c r="F815" s="18" t="s">
        <v>2624</v>
      </c>
      <c r="G815" s="18" t="n">
        <v>1</v>
      </c>
      <c r="H815" s="18" t="s">
        <v>2641</v>
      </c>
      <c r="I815" s="19"/>
      <c r="J815" s="18"/>
    </row>
    <row r="816" customFormat="false" ht="22.35" hidden="false" customHeight="false" outlineLevel="0" collapsed="false">
      <c r="A816" s="18" t="s">
        <v>1610</v>
      </c>
      <c r="B816" s="18" t="s">
        <v>55</v>
      </c>
      <c r="C816" s="18" t="s">
        <v>259</v>
      </c>
      <c r="D816" s="18" t="s">
        <v>84</v>
      </c>
      <c r="E816" s="19" t="s">
        <v>1611</v>
      </c>
      <c r="F816" s="18" t="s">
        <v>2624</v>
      </c>
      <c r="G816" s="18" t="n">
        <v>1</v>
      </c>
      <c r="H816" s="18" t="s">
        <v>2625</v>
      </c>
      <c r="I816" s="19"/>
      <c r="J816" s="18"/>
    </row>
    <row r="817" customFormat="false" ht="22.35" hidden="false" customHeight="false" outlineLevel="0" collapsed="false">
      <c r="A817" s="18" t="s">
        <v>1612</v>
      </c>
      <c r="B817" s="18" t="s">
        <v>55</v>
      </c>
      <c r="C817" s="18" t="s">
        <v>259</v>
      </c>
      <c r="D817" s="18" t="s">
        <v>84</v>
      </c>
      <c r="E817" s="19" t="s">
        <v>1613</v>
      </c>
      <c r="F817" s="18" t="s">
        <v>2624</v>
      </c>
      <c r="G817" s="18" t="n">
        <v>1</v>
      </c>
      <c r="H817" s="18" t="s">
        <v>2625</v>
      </c>
      <c r="I817" s="19"/>
      <c r="J817" s="18"/>
    </row>
    <row r="818" customFormat="false" ht="15" hidden="false" customHeight="false" outlineLevel="0" collapsed="false">
      <c r="A818" s="18" t="s">
        <v>1614</v>
      </c>
      <c r="B818" s="18" t="s">
        <v>55</v>
      </c>
      <c r="C818" s="18" t="s">
        <v>259</v>
      </c>
      <c r="D818" s="18" t="s">
        <v>168</v>
      </c>
      <c r="E818" s="19" t="s">
        <v>1615</v>
      </c>
      <c r="F818" s="18" t="s">
        <v>2624</v>
      </c>
      <c r="G818" s="18" t="n">
        <v>1</v>
      </c>
      <c r="H818" s="18" t="s">
        <v>2625</v>
      </c>
      <c r="I818" s="19"/>
      <c r="J818" s="18"/>
    </row>
    <row r="819" customFormat="false" ht="15" hidden="false" customHeight="false" outlineLevel="0" collapsed="false">
      <c r="A819" s="18" t="s">
        <v>1616</v>
      </c>
      <c r="B819" s="18" t="s">
        <v>55</v>
      </c>
      <c r="C819" s="18" t="s">
        <v>259</v>
      </c>
      <c r="D819" s="18" t="s">
        <v>158</v>
      </c>
      <c r="E819" s="19" t="s">
        <v>1617</v>
      </c>
      <c r="F819" s="18" t="s">
        <v>2624</v>
      </c>
      <c r="G819" s="18" t="n">
        <v>1</v>
      </c>
      <c r="H819" s="18" t="s">
        <v>2665</v>
      </c>
      <c r="I819" s="19"/>
      <c r="J819" s="18"/>
    </row>
    <row r="820" customFormat="false" ht="43.25" hidden="false" customHeight="false" outlineLevel="0" collapsed="false">
      <c r="A820" s="18" t="s">
        <v>1618</v>
      </c>
      <c r="B820" s="18" t="s">
        <v>55</v>
      </c>
      <c r="C820" s="18" t="s">
        <v>259</v>
      </c>
      <c r="D820" s="18" t="s">
        <v>164</v>
      </c>
      <c r="E820" s="19" t="s">
        <v>1619</v>
      </c>
      <c r="F820" s="18" t="s">
        <v>2624</v>
      </c>
      <c r="G820" s="18" t="n">
        <v>1</v>
      </c>
      <c r="H820" s="18" t="s">
        <v>2665</v>
      </c>
      <c r="I820" s="19"/>
      <c r="J820" s="18"/>
    </row>
    <row r="821" customFormat="false" ht="22.35" hidden="false" customHeight="false" outlineLevel="0" collapsed="false">
      <c r="A821" s="18" t="s">
        <v>1620</v>
      </c>
      <c r="B821" s="18" t="s">
        <v>55</v>
      </c>
      <c r="C821" s="18" t="s">
        <v>259</v>
      </c>
      <c r="D821" s="18" t="s">
        <v>168</v>
      </c>
      <c r="E821" s="19" t="s">
        <v>167</v>
      </c>
      <c r="F821" s="18" t="s">
        <v>2631</v>
      </c>
      <c r="G821" s="18" t="n">
        <v>0</v>
      </c>
      <c r="H821" s="18"/>
      <c r="I821" s="19" t="s">
        <v>2632</v>
      </c>
      <c r="J821" s="18"/>
    </row>
    <row r="822" customFormat="false" ht="116.4" hidden="false" customHeight="false" outlineLevel="0" collapsed="false">
      <c r="A822" s="18" t="s">
        <v>1621</v>
      </c>
      <c r="B822" s="18" t="s">
        <v>55</v>
      </c>
      <c r="C822" s="18" t="s">
        <v>259</v>
      </c>
      <c r="D822" s="18" t="s">
        <v>168</v>
      </c>
      <c r="E822" s="19" t="s">
        <v>1622</v>
      </c>
      <c r="F822" s="18" t="s">
        <v>2624</v>
      </c>
      <c r="G822" s="18" t="n">
        <v>1</v>
      </c>
      <c r="H822" s="18" t="s">
        <v>2625</v>
      </c>
      <c r="I822" s="19"/>
      <c r="J822" s="18"/>
    </row>
    <row r="823" customFormat="false" ht="22.35" hidden="false" customHeight="false" outlineLevel="0" collapsed="false">
      <c r="A823" s="18" t="s">
        <v>1623</v>
      </c>
      <c r="B823" s="18" t="s">
        <v>55</v>
      </c>
      <c r="C823" s="18" t="s">
        <v>259</v>
      </c>
      <c r="D823" s="18" t="s">
        <v>175</v>
      </c>
      <c r="E823" s="19" t="s">
        <v>1624</v>
      </c>
      <c r="F823" s="18" t="s">
        <v>2624</v>
      </c>
      <c r="G823" s="18" t="n">
        <v>1</v>
      </c>
      <c r="H823" s="18" t="s">
        <v>2665</v>
      </c>
      <c r="I823" s="19"/>
      <c r="J823" s="18"/>
    </row>
    <row r="824" customFormat="false" ht="22.35" hidden="false" customHeight="false" outlineLevel="0" collapsed="false">
      <c r="A824" s="18" t="s">
        <v>1625</v>
      </c>
      <c r="B824" s="18" t="s">
        <v>55</v>
      </c>
      <c r="C824" s="18" t="s">
        <v>259</v>
      </c>
      <c r="D824" s="18" t="s">
        <v>164</v>
      </c>
      <c r="E824" s="19" t="s">
        <v>1626</v>
      </c>
      <c r="F824" s="18" t="s">
        <v>2624</v>
      </c>
      <c r="G824" s="18" t="n">
        <v>1</v>
      </c>
      <c r="H824" s="18" t="s">
        <v>2665</v>
      </c>
      <c r="I824" s="19"/>
      <c r="J824" s="18"/>
    </row>
    <row r="825" customFormat="false" ht="15" hidden="false" customHeight="false" outlineLevel="0" collapsed="false">
      <c r="A825" s="18" t="s">
        <v>1627</v>
      </c>
      <c r="B825" s="18" t="s">
        <v>55</v>
      </c>
      <c r="C825" s="18" t="s">
        <v>259</v>
      </c>
      <c r="D825" s="18" t="s">
        <v>158</v>
      </c>
      <c r="E825" s="19" t="s">
        <v>1628</v>
      </c>
      <c r="F825" s="18" t="s">
        <v>2624</v>
      </c>
      <c r="G825" s="18" t="n">
        <v>1</v>
      </c>
      <c r="H825" s="18" t="s">
        <v>2665</v>
      </c>
      <c r="I825" s="19"/>
      <c r="J825" s="18"/>
    </row>
    <row r="826" customFormat="false" ht="32.8" hidden="false" customHeight="false" outlineLevel="0" collapsed="false">
      <c r="A826" s="18" t="s">
        <v>1629</v>
      </c>
      <c r="B826" s="18" t="s">
        <v>55</v>
      </c>
      <c r="C826" s="18" t="s">
        <v>259</v>
      </c>
      <c r="D826" s="18" t="s">
        <v>164</v>
      </c>
      <c r="E826" s="19" t="s">
        <v>1630</v>
      </c>
      <c r="F826" s="18" t="s">
        <v>2631</v>
      </c>
      <c r="G826" s="18" t="n">
        <v>0.53</v>
      </c>
      <c r="H826" s="18" t="s">
        <v>2665</v>
      </c>
      <c r="I826" s="19" t="s">
        <v>2666</v>
      </c>
      <c r="J826" s="18"/>
    </row>
    <row r="827" customFormat="false" ht="15" hidden="false" customHeight="false" outlineLevel="0" collapsed="false">
      <c r="A827" s="18" t="s">
        <v>1631</v>
      </c>
      <c r="B827" s="18" t="s">
        <v>55</v>
      </c>
      <c r="C827" s="18" t="s">
        <v>259</v>
      </c>
      <c r="D827" s="18" t="s">
        <v>158</v>
      </c>
      <c r="E827" s="19" t="s">
        <v>1632</v>
      </c>
      <c r="F827" s="18" t="s">
        <v>2624</v>
      </c>
      <c r="G827" s="18" t="n">
        <v>1</v>
      </c>
      <c r="H827" s="18" t="s">
        <v>2665</v>
      </c>
      <c r="I827" s="19"/>
      <c r="J827" s="18"/>
    </row>
    <row r="828" customFormat="false" ht="15" hidden="false" customHeight="false" outlineLevel="0" collapsed="false">
      <c r="A828" s="18" t="s">
        <v>1633</v>
      </c>
      <c r="B828" s="18" t="s">
        <v>55</v>
      </c>
      <c r="C828" s="18" t="s">
        <v>259</v>
      </c>
      <c r="D828" s="18" t="s">
        <v>164</v>
      </c>
      <c r="E828" s="19" t="s">
        <v>1634</v>
      </c>
      <c r="F828" s="18" t="s">
        <v>2624</v>
      </c>
      <c r="G828" s="18" t="n">
        <v>1</v>
      </c>
      <c r="H828" s="18" t="s">
        <v>2665</v>
      </c>
      <c r="I828" s="19"/>
      <c r="J828" s="18"/>
    </row>
    <row r="829" customFormat="false" ht="22.35" hidden="false" customHeight="false" outlineLevel="0" collapsed="false">
      <c r="A829" s="18" t="s">
        <v>1635</v>
      </c>
      <c r="B829" s="18" t="s">
        <v>55</v>
      </c>
      <c r="C829" s="18" t="s">
        <v>259</v>
      </c>
      <c r="D829" s="18" t="s">
        <v>164</v>
      </c>
      <c r="E829" s="19" t="s">
        <v>1636</v>
      </c>
      <c r="F829" s="18" t="s">
        <v>2624</v>
      </c>
      <c r="G829" s="18" t="n">
        <v>1</v>
      </c>
      <c r="H829" s="18" t="s">
        <v>2665</v>
      </c>
      <c r="I829" s="19"/>
      <c r="J829" s="18"/>
    </row>
    <row r="830" customFormat="false" ht="22.35" hidden="false" customHeight="false" outlineLevel="0" collapsed="false">
      <c r="A830" s="18" t="s">
        <v>1637</v>
      </c>
      <c r="B830" s="18" t="s">
        <v>55</v>
      </c>
      <c r="C830" s="18" t="s">
        <v>259</v>
      </c>
      <c r="D830" s="18" t="s">
        <v>164</v>
      </c>
      <c r="E830" s="19" t="s">
        <v>1638</v>
      </c>
      <c r="F830" s="18" t="s">
        <v>2624</v>
      </c>
      <c r="G830" s="18" t="n">
        <v>1</v>
      </c>
      <c r="H830" s="18" t="s">
        <v>2665</v>
      </c>
      <c r="I830" s="19"/>
      <c r="J830" s="18"/>
    </row>
    <row r="831" customFormat="false" ht="22.35" hidden="false" customHeight="false" outlineLevel="0" collapsed="false">
      <c r="A831" s="18" t="s">
        <v>1639</v>
      </c>
      <c r="B831" s="18" t="s">
        <v>55</v>
      </c>
      <c r="C831" s="18" t="s">
        <v>259</v>
      </c>
      <c r="D831" s="18" t="s">
        <v>164</v>
      </c>
      <c r="E831" s="19" t="s">
        <v>1640</v>
      </c>
      <c r="F831" s="18" t="s">
        <v>2624</v>
      </c>
      <c r="G831" s="18" t="n">
        <v>1</v>
      </c>
      <c r="H831" s="18" t="s">
        <v>2665</v>
      </c>
      <c r="I831" s="19"/>
      <c r="J831" s="18"/>
    </row>
    <row r="832" customFormat="false" ht="22.35" hidden="false" customHeight="false" outlineLevel="0" collapsed="false">
      <c r="A832" s="18" t="s">
        <v>1641</v>
      </c>
      <c r="B832" s="18" t="s">
        <v>55</v>
      </c>
      <c r="C832" s="18" t="s">
        <v>259</v>
      </c>
      <c r="D832" s="18" t="s">
        <v>164</v>
      </c>
      <c r="E832" s="19" t="s">
        <v>1642</v>
      </c>
      <c r="F832" s="18" t="s">
        <v>2627</v>
      </c>
      <c r="G832" s="18" t="n">
        <v>0</v>
      </c>
      <c r="H832" s="18"/>
      <c r="I832" s="19" t="s">
        <v>2635</v>
      </c>
      <c r="J832" s="18"/>
    </row>
    <row r="833" customFormat="false" ht="15" hidden="false" customHeight="false" outlineLevel="0" collapsed="false">
      <c r="A833" s="18" t="s">
        <v>1643</v>
      </c>
      <c r="B833" s="18" t="s">
        <v>55</v>
      </c>
      <c r="C833" s="18" t="s">
        <v>259</v>
      </c>
      <c r="D833" s="18" t="s">
        <v>158</v>
      </c>
      <c r="E833" s="19" t="s">
        <v>1644</v>
      </c>
      <c r="F833" s="18" t="s">
        <v>2624</v>
      </c>
      <c r="G833" s="18" t="n">
        <v>1</v>
      </c>
      <c r="H833" s="18" t="s">
        <v>2665</v>
      </c>
      <c r="I833" s="19"/>
      <c r="J833" s="18"/>
    </row>
    <row r="834" customFormat="false" ht="22.35" hidden="false" customHeight="false" outlineLevel="0" collapsed="false">
      <c r="A834" s="18" t="s">
        <v>1645</v>
      </c>
      <c r="B834" s="18" t="s">
        <v>55</v>
      </c>
      <c r="C834" s="18" t="s">
        <v>259</v>
      </c>
      <c r="D834" s="18" t="s">
        <v>164</v>
      </c>
      <c r="E834" s="19" t="s">
        <v>1646</v>
      </c>
      <c r="F834" s="18" t="s">
        <v>2624</v>
      </c>
      <c r="G834" s="18" t="n">
        <v>1</v>
      </c>
      <c r="H834" s="18" t="s">
        <v>2665</v>
      </c>
      <c r="I834" s="19"/>
      <c r="J834" s="18"/>
    </row>
    <row r="835" customFormat="false" ht="15" hidden="false" customHeight="false" outlineLevel="0" collapsed="false">
      <c r="A835" s="18" t="s">
        <v>1647</v>
      </c>
      <c r="B835" s="18" t="s">
        <v>55</v>
      </c>
      <c r="C835" s="18" t="s">
        <v>259</v>
      </c>
      <c r="D835" s="18" t="s">
        <v>164</v>
      </c>
      <c r="E835" s="19" t="s">
        <v>1648</v>
      </c>
      <c r="F835" s="18" t="s">
        <v>2624</v>
      </c>
      <c r="G835" s="18" t="n">
        <v>1</v>
      </c>
      <c r="H835" s="18" t="s">
        <v>2665</v>
      </c>
      <c r="I835" s="19"/>
      <c r="J835" s="18"/>
    </row>
    <row r="836" customFormat="false" ht="22.35" hidden="false" customHeight="false" outlineLevel="0" collapsed="false">
      <c r="A836" s="18" t="s">
        <v>1649</v>
      </c>
      <c r="B836" s="18" t="s">
        <v>55</v>
      </c>
      <c r="C836" s="18" t="s">
        <v>259</v>
      </c>
      <c r="D836" s="18" t="s">
        <v>164</v>
      </c>
      <c r="E836" s="19" t="s">
        <v>1650</v>
      </c>
      <c r="F836" s="18" t="s">
        <v>2624</v>
      </c>
      <c r="G836" s="18" t="n">
        <v>1</v>
      </c>
      <c r="H836" s="18" t="s">
        <v>2665</v>
      </c>
      <c r="I836" s="19"/>
      <c r="J836" s="18"/>
    </row>
    <row r="837" customFormat="false" ht="22.35" hidden="false" customHeight="false" outlineLevel="0" collapsed="false">
      <c r="A837" s="18" t="s">
        <v>1651</v>
      </c>
      <c r="B837" s="18" t="s">
        <v>55</v>
      </c>
      <c r="C837" s="18" t="s">
        <v>259</v>
      </c>
      <c r="D837" s="18" t="s">
        <v>164</v>
      </c>
      <c r="E837" s="19" t="s">
        <v>1642</v>
      </c>
      <c r="F837" s="18" t="s">
        <v>2627</v>
      </c>
      <c r="G837" s="18" t="n">
        <v>0</v>
      </c>
      <c r="H837" s="18"/>
      <c r="I837" s="19" t="s">
        <v>2635</v>
      </c>
      <c r="J837" s="18"/>
    </row>
    <row r="838" customFormat="false" ht="15" hidden="false" customHeight="false" outlineLevel="0" collapsed="false">
      <c r="A838" s="18" t="s">
        <v>1652</v>
      </c>
      <c r="B838" s="18" t="s">
        <v>55</v>
      </c>
      <c r="C838" s="18" t="s">
        <v>259</v>
      </c>
      <c r="D838" s="18" t="s">
        <v>158</v>
      </c>
      <c r="E838" s="19" t="s">
        <v>1653</v>
      </c>
      <c r="F838" s="18" t="s">
        <v>2624</v>
      </c>
      <c r="G838" s="18" t="n">
        <v>1</v>
      </c>
      <c r="H838" s="18" t="s">
        <v>2665</v>
      </c>
      <c r="I838" s="19"/>
      <c r="J838" s="18"/>
    </row>
    <row r="839" customFormat="false" ht="22.35" hidden="false" customHeight="false" outlineLevel="0" collapsed="false">
      <c r="A839" s="18" t="s">
        <v>1654</v>
      </c>
      <c r="B839" s="18" t="s">
        <v>55</v>
      </c>
      <c r="C839" s="18" t="s">
        <v>259</v>
      </c>
      <c r="D839" s="18" t="s">
        <v>164</v>
      </c>
      <c r="E839" s="19" t="s">
        <v>1655</v>
      </c>
      <c r="F839" s="18" t="s">
        <v>2624</v>
      </c>
      <c r="G839" s="18" t="n">
        <v>1</v>
      </c>
      <c r="H839" s="18" t="s">
        <v>2665</v>
      </c>
      <c r="I839" s="19"/>
      <c r="J839" s="18"/>
    </row>
    <row r="840" customFormat="false" ht="15" hidden="false" customHeight="false" outlineLevel="0" collapsed="false">
      <c r="A840" s="18" t="s">
        <v>1656</v>
      </c>
      <c r="B840" s="18" t="s">
        <v>55</v>
      </c>
      <c r="C840" s="18" t="s">
        <v>259</v>
      </c>
      <c r="D840" s="18" t="s">
        <v>164</v>
      </c>
      <c r="E840" s="19" t="s">
        <v>1657</v>
      </c>
      <c r="F840" s="18" t="s">
        <v>2624</v>
      </c>
      <c r="G840" s="18" t="n">
        <v>1</v>
      </c>
      <c r="H840" s="18" t="s">
        <v>2665</v>
      </c>
      <c r="I840" s="19"/>
      <c r="J840" s="18"/>
    </row>
    <row r="841" customFormat="false" ht="22.35" hidden="false" customHeight="false" outlineLevel="0" collapsed="false">
      <c r="A841" s="18" t="s">
        <v>1658</v>
      </c>
      <c r="B841" s="18" t="s">
        <v>55</v>
      </c>
      <c r="C841" s="18" t="s">
        <v>259</v>
      </c>
      <c r="D841" s="18" t="s">
        <v>164</v>
      </c>
      <c r="E841" s="19" t="s">
        <v>1659</v>
      </c>
      <c r="F841" s="18" t="s">
        <v>2624</v>
      </c>
      <c r="G841" s="18" t="n">
        <v>1</v>
      </c>
      <c r="H841" s="18" t="s">
        <v>2665</v>
      </c>
      <c r="I841" s="19"/>
      <c r="J841" s="18"/>
    </row>
    <row r="842" customFormat="false" ht="22.35" hidden="false" customHeight="false" outlineLevel="0" collapsed="false">
      <c r="A842" s="18" t="s">
        <v>1660</v>
      </c>
      <c r="B842" s="18" t="s">
        <v>55</v>
      </c>
      <c r="C842" s="18" t="s">
        <v>259</v>
      </c>
      <c r="D842" s="18" t="s">
        <v>164</v>
      </c>
      <c r="E842" s="19" t="s">
        <v>1642</v>
      </c>
      <c r="F842" s="18" t="s">
        <v>2627</v>
      </c>
      <c r="G842" s="18" t="n">
        <v>0</v>
      </c>
      <c r="H842" s="18"/>
      <c r="I842" s="19" t="s">
        <v>2635</v>
      </c>
      <c r="J842" s="18"/>
    </row>
    <row r="843" customFormat="false" ht="22.35" hidden="false" customHeight="false" outlineLevel="0" collapsed="false">
      <c r="A843" s="18" t="s">
        <v>1661</v>
      </c>
      <c r="B843" s="18" t="s">
        <v>55</v>
      </c>
      <c r="C843" s="18" t="s">
        <v>259</v>
      </c>
      <c r="D843" s="18" t="s">
        <v>175</v>
      </c>
      <c r="E843" s="19" t="s">
        <v>1662</v>
      </c>
      <c r="F843" s="18" t="s">
        <v>2624</v>
      </c>
      <c r="G843" s="18" t="n">
        <v>1</v>
      </c>
      <c r="H843" s="18" t="s">
        <v>2665</v>
      </c>
      <c r="I843" s="19"/>
      <c r="J843" s="18"/>
    </row>
    <row r="844" customFormat="false" ht="15" hidden="false" customHeight="false" outlineLevel="0" collapsed="false">
      <c r="A844" s="18" t="s">
        <v>1663</v>
      </c>
      <c r="B844" s="18" t="s">
        <v>55</v>
      </c>
      <c r="C844" s="18" t="s">
        <v>259</v>
      </c>
      <c r="D844" s="18" t="s">
        <v>158</v>
      </c>
      <c r="E844" s="19" t="s">
        <v>1664</v>
      </c>
      <c r="F844" s="18" t="s">
        <v>2624</v>
      </c>
      <c r="G844" s="18" t="n">
        <v>1</v>
      </c>
      <c r="H844" s="18" t="s">
        <v>2665</v>
      </c>
      <c r="I844" s="19"/>
      <c r="J844" s="18"/>
    </row>
    <row r="845" customFormat="false" ht="15" hidden="false" customHeight="false" outlineLevel="0" collapsed="false">
      <c r="A845" s="18" t="s">
        <v>1665</v>
      </c>
      <c r="B845" s="18" t="s">
        <v>55</v>
      </c>
      <c r="C845" s="18" t="s">
        <v>259</v>
      </c>
      <c r="D845" s="18" t="s">
        <v>164</v>
      </c>
      <c r="E845" s="19" t="s">
        <v>1666</v>
      </c>
      <c r="F845" s="18" t="s">
        <v>2624</v>
      </c>
      <c r="G845" s="18" t="n">
        <v>1</v>
      </c>
      <c r="H845" s="18" t="s">
        <v>2665</v>
      </c>
      <c r="I845" s="19"/>
      <c r="J845" s="18"/>
    </row>
    <row r="846" customFormat="false" ht="32.8" hidden="false" customHeight="false" outlineLevel="0" collapsed="false">
      <c r="A846" s="18" t="s">
        <v>1667</v>
      </c>
      <c r="B846" s="18" t="s">
        <v>55</v>
      </c>
      <c r="C846" s="18" t="s">
        <v>259</v>
      </c>
      <c r="D846" s="18" t="s">
        <v>164</v>
      </c>
      <c r="E846" s="19" t="s">
        <v>1668</v>
      </c>
      <c r="F846" s="18" t="s">
        <v>2624</v>
      </c>
      <c r="G846" s="18" t="n">
        <v>0.93</v>
      </c>
      <c r="H846" s="18" t="s">
        <v>2665</v>
      </c>
      <c r="I846" s="19"/>
      <c r="J846" s="18"/>
    </row>
    <row r="847" customFormat="false" ht="15" hidden="false" customHeight="false" outlineLevel="0" collapsed="false">
      <c r="A847" s="18" t="s">
        <v>1669</v>
      </c>
      <c r="B847" s="18" t="s">
        <v>55</v>
      </c>
      <c r="C847" s="18" t="s">
        <v>259</v>
      </c>
      <c r="D847" s="18" t="s">
        <v>164</v>
      </c>
      <c r="E847" s="19" t="s">
        <v>1670</v>
      </c>
      <c r="F847" s="18" t="s">
        <v>2624</v>
      </c>
      <c r="G847" s="18" t="n">
        <v>1</v>
      </c>
      <c r="H847" s="18" t="s">
        <v>2665</v>
      </c>
      <c r="I847" s="19"/>
      <c r="J847" s="18"/>
    </row>
    <row r="848" customFormat="false" ht="15" hidden="false" customHeight="false" outlineLevel="0" collapsed="false">
      <c r="A848" s="18" t="s">
        <v>1671</v>
      </c>
      <c r="B848" s="18" t="s">
        <v>55</v>
      </c>
      <c r="C848" s="18" t="s">
        <v>259</v>
      </c>
      <c r="D848" s="18" t="s">
        <v>164</v>
      </c>
      <c r="E848" s="19" t="s">
        <v>1672</v>
      </c>
      <c r="F848" s="18" t="s">
        <v>2624</v>
      </c>
      <c r="G848" s="18" t="n">
        <v>1</v>
      </c>
      <c r="H848" s="18" t="s">
        <v>2665</v>
      </c>
      <c r="I848" s="19"/>
      <c r="J848" s="18"/>
    </row>
    <row r="849" customFormat="false" ht="15" hidden="false" customHeight="false" outlineLevel="0" collapsed="false">
      <c r="A849" s="18" t="s">
        <v>1673</v>
      </c>
      <c r="B849" s="18" t="s">
        <v>55</v>
      </c>
      <c r="C849" s="18" t="s">
        <v>259</v>
      </c>
      <c r="D849" s="18" t="s">
        <v>164</v>
      </c>
      <c r="E849" s="19" t="s">
        <v>1674</v>
      </c>
      <c r="F849" s="18" t="s">
        <v>2624</v>
      </c>
      <c r="G849" s="18" t="n">
        <v>1</v>
      </c>
      <c r="H849" s="18" t="s">
        <v>2665</v>
      </c>
      <c r="I849" s="19"/>
      <c r="J849" s="18"/>
    </row>
    <row r="850" customFormat="false" ht="15" hidden="false" customHeight="false" outlineLevel="0" collapsed="false">
      <c r="A850" s="18" t="s">
        <v>1675</v>
      </c>
      <c r="B850" s="18" t="s">
        <v>55</v>
      </c>
      <c r="C850" s="18" t="s">
        <v>259</v>
      </c>
      <c r="D850" s="18" t="s">
        <v>164</v>
      </c>
      <c r="E850" s="19" t="s">
        <v>1676</v>
      </c>
      <c r="F850" s="18" t="s">
        <v>2624</v>
      </c>
      <c r="G850" s="18" t="n">
        <v>1</v>
      </c>
      <c r="H850" s="18" t="s">
        <v>2638</v>
      </c>
      <c r="I850" s="19"/>
      <c r="J850" s="18"/>
    </row>
    <row r="851" customFormat="false" ht="22.35" hidden="false" customHeight="false" outlineLevel="0" collapsed="false">
      <c r="A851" s="18" t="s">
        <v>1677</v>
      </c>
      <c r="B851" s="18" t="s">
        <v>55</v>
      </c>
      <c r="C851" s="18" t="s">
        <v>259</v>
      </c>
      <c r="D851" s="18" t="s">
        <v>164</v>
      </c>
      <c r="E851" s="19" t="s">
        <v>1678</v>
      </c>
      <c r="F851" s="18" t="s">
        <v>2624</v>
      </c>
      <c r="G851" s="18" t="n">
        <v>0.89</v>
      </c>
      <c r="H851" s="18" t="s">
        <v>2665</v>
      </c>
      <c r="I851" s="19"/>
      <c r="J851" s="18"/>
    </row>
    <row r="852" customFormat="false" ht="15" hidden="false" customHeight="false" outlineLevel="0" collapsed="false">
      <c r="A852" s="18" t="s">
        <v>1679</v>
      </c>
      <c r="B852" s="18" t="s">
        <v>55</v>
      </c>
      <c r="C852" s="18" t="s">
        <v>259</v>
      </c>
      <c r="D852" s="18" t="s">
        <v>164</v>
      </c>
      <c r="E852" s="19" t="s">
        <v>1670</v>
      </c>
      <c r="F852" s="18" t="s">
        <v>2624</v>
      </c>
      <c r="G852" s="18" t="n">
        <v>1</v>
      </c>
      <c r="H852" s="18" t="s">
        <v>2665</v>
      </c>
      <c r="I852" s="19"/>
      <c r="J852" s="18"/>
    </row>
    <row r="853" customFormat="false" ht="15" hidden="false" customHeight="false" outlineLevel="0" collapsed="false">
      <c r="A853" s="18" t="s">
        <v>1680</v>
      </c>
      <c r="B853" s="18" t="s">
        <v>55</v>
      </c>
      <c r="C853" s="18" t="s">
        <v>259</v>
      </c>
      <c r="D853" s="18" t="s">
        <v>164</v>
      </c>
      <c r="E853" s="19" t="s">
        <v>1681</v>
      </c>
      <c r="F853" s="18" t="s">
        <v>2624</v>
      </c>
      <c r="G853" s="18" t="n">
        <v>1</v>
      </c>
      <c r="H853" s="18" t="s">
        <v>2665</v>
      </c>
      <c r="I853" s="19"/>
      <c r="J853" s="18"/>
    </row>
    <row r="854" customFormat="false" ht="15" hidden="false" customHeight="false" outlineLevel="0" collapsed="false">
      <c r="A854" s="18" t="s">
        <v>1682</v>
      </c>
      <c r="B854" s="18" t="s">
        <v>55</v>
      </c>
      <c r="C854" s="18" t="s">
        <v>259</v>
      </c>
      <c r="D854" s="18" t="s">
        <v>164</v>
      </c>
      <c r="E854" s="19" t="s">
        <v>1683</v>
      </c>
      <c r="F854" s="18" t="s">
        <v>2624</v>
      </c>
      <c r="G854" s="18" t="n">
        <v>1</v>
      </c>
      <c r="H854" s="18" t="s">
        <v>2665</v>
      </c>
      <c r="I854" s="19"/>
      <c r="J854" s="18"/>
    </row>
    <row r="855" customFormat="false" ht="15" hidden="false" customHeight="false" outlineLevel="0" collapsed="false">
      <c r="A855" s="18" t="s">
        <v>1684</v>
      </c>
      <c r="B855" s="18" t="s">
        <v>55</v>
      </c>
      <c r="C855" s="18" t="s">
        <v>259</v>
      </c>
      <c r="D855" s="18" t="s">
        <v>164</v>
      </c>
      <c r="E855" s="19" t="s">
        <v>1676</v>
      </c>
      <c r="F855" s="18" t="s">
        <v>2624</v>
      </c>
      <c r="G855" s="18" t="n">
        <v>1</v>
      </c>
      <c r="H855" s="18" t="s">
        <v>2638</v>
      </c>
      <c r="I855" s="19"/>
      <c r="J855" s="18"/>
    </row>
    <row r="856" customFormat="false" ht="22.35" hidden="false" customHeight="false" outlineLevel="0" collapsed="false">
      <c r="A856" s="18" t="s">
        <v>1685</v>
      </c>
      <c r="B856" s="18" t="s">
        <v>55</v>
      </c>
      <c r="C856" s="18" t="s">
        <v>259</v>
      </c>
      <c r="D856" s="18" t="s">
        <v>164</v>
      </c>
      <c r="E856" s="19" t="s">
        <v>1686</v>
      </c>
      <c r="F856" s="18" t="s">
        <v>2624</v>
      </c>
      <c r="G856" s="18" t="n">
        <v>0.96</v>
      </c>
      <c r="H856" s="18" t="s">
        <v>2665</v>
      </c>
      <c r="I856" s="19"/>
      <c r="J856" s="18"/>
    </row>
    <row r="857" customFormat="false" ht="15" hidden="false" customHeight="false" outlineLevel="0" collapsed="false">
      <c r="A857" s="18" t="s">
        <v>1687</v>
      </c>
      <c r="B857" s="18" t="s">
        <v>55</v>
      </c>
      <c r="C857" s="18" t="s">
        <v>259</v>
      </c>
      <c r="D857" s="18" t="s">
        <v>164</v>
      </c>
      <c r="E857" s="19" t="s">
        <v>1670</v>
      </c>
      <c r="F857" s="18" t="s">
        <v>2624</v>
      </c>
      <c r="G857" s="18" t="n">
        <v>1</v>
      </c>
      <c r="H857" s="18" t="s">
        <v>2665</v>
      </c>
      <c r="I857" s="19"/>
      <c r="J857" s="18"/>
    </row>
    <row r="858" customFormat="false" ht="15" hidden="false" customHeight="false" outlineLevel="0" collapsed="false">
      <c r="A858" s="18" t="s">
        <v>1688</v>
      </c>
      <c r="B858" s="18" t="s">
        <v>55</v>
      </c>
      <c r="C858" s="18" t="s">
        <v>259</v>
      </c>
      <c r="D858" s="18" t="s">
        <v>164</v>
      </c>
      <c r="E858" s="19" t="s">
        <v>1681</v>
      </c>
      <c r="F858" s="18" t="s">
        <v>2624</v>
      </c>
      <c r="G858" s="18" t="n">
        <v>1</v>
      </c>
      <c r="H858" s="18" t="s">
        <v>2665</v>
      </c>
      <c r="I858" s="19"/>
      <c r="J858" s="18"/>
    </row>
    <row r="859" customFormat="false" ht="15" hidden="false" customHeight="false" outlineLevel="0" collapsed="false">
      <c r="A859" s="18" t="s">
        <v>1689</v>
      </c>
      <c r="B859" s="18" t="s">
        <v>55</v>
      </c>
      <c r="C859" s="18" t="s">
        <v>259</v>
      </c>
      <c r="D859" s="18" t="s">
        <v>164</v>
      </c>
      <c r="E859" s="19" t="s">
        <v>1674</v>
      </c>
      <c r="F859" s="18" t="s">
        <v>2624</v>
      </c>
      <c r="G859" s="18" t="n">
        <v>1</v>
      </c>
      <c r="H859" s="18" t="s">
        <v>2665</v>
      </c>
      <c r="I859" s="19"/>
      <c r="J859" s="18"/>
    </row>
    <row r="860" customFormat="false" ht="15" hidden="false" customHeight="false" outlineLevel="0" collapsed="false">
      <c r="A860" s="18" t="s">
        <v>1690</v>
      </c>
      <c r="B860" s="18" t="s">
        <v>55</v>
      </c>
      <c r="C860" s="18" t="s">
        <v>259</v>
      </c>
      <c r="D860" s="18" t="s">
        <v>164</v>
      </c>
      <c r="E860" s="19" t="s">
        <v>1691</v>
      </c>
      <c r="F860" s="18" t="s">
        <v>2624</v>
      </c>
      <c r="G860" s="18" t="n">
        <v>1</v>
      </c>
      <c r="H860" s="18" t="s">
        <v>2638</v>
      </c>
      <c r="I860" s="19"/>
      <c r="J860" s="18"/>
    </row>
    <row r="861" customFormat="false" ht="15" hidden="false" customHeight="false" outlineLevel="0" collapsed="false">
      <c r="A861" s="18" t="s">
        <v>1692</v>
      </c>
      <c r="B861" s="18" t="s">
        <v>55</v>
      </c>
      <c r="C861" s="18" t="s">
        <v>259</v>
      </c>
      <c r="D861" s="18" t="s">
        <v>158</v>
      </c>
      <c r="E861" s="19" t="s">
        <v>447</v>
      </c>
      <c r="F861" s="18" t="s">
        <v>2624</v>
      </c>
      <c r="G861" s="18" t="n">
        <v>1</v>
      </c>
      <c r="H861" s="18" t="s">
        <v>2644</v>
      </c>
      <c r="I861" s="19"/>
      <c r="J861" s="18"/>
    </row>
    <row r="862" customFormat="false" ht="22.35" hidden="false" customHeight="false" outlineLevel="0" collapsed="false">
      <c r="A862" s="18" t="s">
        <v>1693</v>
      </c>
      <c r="B862" s="18" t="s">
        <v>55</v>
      </c>
      <c r="C862" s="18" t="s">
        <v>259</v>
      </c>
      <c r="D862" s="18" t="s">
        <v>164</v>
      </c>
      <c r="E862" s="19" t="s">
        <v>1694</v>
      </c>
      <c r="F862" s="18" t="s">
        <v>2631</v>
      </c>
      <c r="G862" s="18" t="n">
        <v>0.05</v>
      </c>
      <c r="H862" s="18"/>
      <c r="I862" s="19" t="s">
        <v>2646</v>
      </c>
      <c r="J862" s="18"/>
    </row>
    <row r="863" customFormat="false" ht="22.35" hidden="false" customHeight="false" outlineLevel="0" collapsed="false">
      <c r="A863" s="18" t="s">
        <v>1695</v>
      </c>
      <c r="B863" s="18" t="s">
        <v>55</v>
      </c>
      <c r="C863" s="18" t="s">
        <v>259</v>
      </c>
      <c r="D863" s="18" t="s">
        <v>164</v>
      </c>
      <c r="E863" s="19" t="s">
        <v>1696</v>
      </c>
      <c r="F863" s="18" t="s">
        <v>2631</v>
      </c>
      <c r="G863" s="18" t="n">
        <v>0.19</v>
      </c>
      <c r="H863" s="18"/>
      <c r="I863" s="19" t="s">
        <v>2646</v>
      </c>
      <c r="J863" s="18"/>
    </row>
    <row r="864" customFormat="false" ht="22.35" hidden="false" customHeight="false" outlineLevel="0" collapsed="false">
      <c r="A864" s="18" t="s">
        <v>1697</v>
      </c>
      <c r="B864" s="18" t="s">
        <v>55</v>
      </c>
      <c r="C864" s="18" t="s">
        <v>259</v>
      </c>
      <c r="D864" s="18" t="s">
        <v>164</v>
      </c>
      <c r="E864" s="19" t="s">
        <v>455</v>
      </c>
      <c r="F864" s="18" t="s">
        <v>2627</v>
      </c>
      <c r="G864" s="18" t="n">
        <v>0</v>
      </c>
      <c r="H864" s="18"/>
      <c r="I864" s="19" t="s">
        <v>2635</v>
      </c>
      <c r="J864" s="18"/>
    </row>
    <row r="865" customFormat="false" ht="15" hidden="false" customHeight="false" outlineLevel="0" collapsed="false">
      <c r="A865" s="18" t="s">
        <v>1698</v>
      </c>
      <c r="B865" s="18" t="s">
        <v>55</v>
      </c>
      <c r="C865" s="18" t="s">
        <v>259</v>
      </c>
      <c r="D865" s="18" t="s">
        <v>164</v>
      </c>
      <c r="E865" s="19" t="s">
        <v>457</v>
      </c>
      <c r="F865" s="18" t="s">
        <v>2627</v>
      </c>
      <c r="G865" s="18" t="n">
        <v>0.2</v>
      </c>
      <c r="H865" s="18"/>
      <c r="I865" s="19" t="s">
        <v>2634</v>
      </c>
      <c r="J865" s="18"/>
    </row>
    <row r="866" customFormat="false" ht="15" hidden="false" customHeight="false" outlineLevel="0" collapsed="false">
      <c r="A866" s="18" t="s">
        <v>1699</v>
      </c>
      <c r="B866" s="18" t="s">
        <v>55</v>
      </c>
      <c r="C866" s="18" t="s">
        <v>259</v>
      </c>
      <c r="D866" s="18" t="s">
        <v>175</v>
      </c>
      <c r="E866" s="19" t="s">
        <v>459</v>
      </c>
      <c r="F866" s="18" t="s">
        <v>2630</v>
      </c>
      <c r="G866" s="18" t="n">
        <v>0.67</v>
      </c>
      <c r="H866" s="18" t="s">
        <v>2647</v>
      </c>
      <c r="I866" s="19"/>
      <c r="J866" s="18"/>
    </row>
    <row r="867" customFormat="false" ht="22.35" hidden="false" customHeight="false" outlineLevel="0" collapsed="false">
      <c r="A867" s="18" t="s">
        <v>1700</v>
      </c>
      <c r="B867" s="18" t="s">
        <v>55</v>
      </c>
      <c r="C867" s="18" t="s">
        <v>259</v>
      </c>
      <c r="D867" s="18" t="s">
        <v>175</v>
      </c>
      <c r="E867" s="19" t="s">
        <v>1701</v>
      </c>
      <c r="F867" s="18" t="s">
        <v>2631</v>
      </c>
      <c r="G867" s="18" t="n">
        <v>0.12</v>
      </c>
      <c r="H867" s="18"/>
      <c r="I867" s="19" t="s">
        <v>2646</v>
      </c>
      <c r="J867" s="18"/>
    </row>
    <row r="868" customFormat="false" ht="22.35" hidden="false" customHeight="false" outlineLevel="0" collapsed="false">
      <c r="A868" s="18" t="s">
        <v>1702</v>
      </c>
      <c r="B868" s="18" t="s">
        <v>55</v>
      </c>
      <c r="C868" s="18" t="s">
        <v>259</v>
      </c>
      <c r="D868" s="18" t="s">
        <v>175</v>
      </c>
      <c r="E868" s="19" t="s">
        <v>1703</v>
      </c>
      <c r="F868" s="18" t="s">
        <v>2631</v>
      </c>
      <c r="G868" s="18" t="n">
        <v>0.25</v>
      </c>
      <c r="H868" s="18"/>
      <c r="I868" s="19" t="s">
        <v>2646</v>
      </c>
      <c r="J868" s="18"/>
    </row>
    <row r="869" customFormat="false" ht="15" hidden="false" customHeight="false" outlineLevel="0" collapsed="false">
      <c r="A869" s="18" t="s">
        <v>1704</v>
      </c>
      <c r="B869" s="18" t="s">
        <v>55</v>
      </c>
      <c r="C869" s="18" t="s">
        <v>259</v>
      </c>
      <c r="D869" s="18" t="s">
        <v>175</v>
      </c>
      <c r="E869" s="19" t="s">
        <v>1705</v>
      </c>
      <c r="F869" s="18" t="s">
        <v>2630</v>
      </c>
      <c r="G869" s="18" t="n">
        <v>0.73</v>
      </c>
      <c r="H869" s="18" t="s">
        <v>2633</v>
      </c>
      <c r="I869" s="19"/>
      <c r="J869" s="18"/>
    </row>
    <row r="870" customFormat="false" ht="22.35" hidden="false" customHeight="false" outlineLevel="0" collapsed="false">
      <c r="A870" s="18" t="s">
        <v>1706</v>
      </c>
      <c r="B870" s="18" t="s">
        <v>55</v>
      </c>
      <c r="C870" s="18" t="s">
        <v>259</v>
      </c>
      <c r="D870" s="18" t="s">
        <v>158</v>
      </c>
      <c r="E870" s="19" t="s">
        <v>1707</v>
      </c>
      <c r="F870" s="18" t="s">
        <v>2631</v>
      </c>
      <c r="G870" s="18" t="n">
        <v>0</v>
      </c>
      <c r="H870" s="18"/>
      <c r="I870" s="19" t="s">
        <v>2639</v>
      </c>
      <c r="J870" s="18"/>
    </row>
    <row r="871" customFormat="false" ht="22.35" hidden="false" customHeight="false" outlineLevel="0" collapsed="false">
      <c r="A871" s="18" t="s">
        <v>1708</v>
      </c>
      <c r="B871" s="18" t="s">
        <v>55</v>
      </c>
      <c r="C871" s="18" t="s">
        <v>259</v>
      </c>
      <c r="D871" s="18" t="s">
        <v>164</v>
      </c>
      <c r="E871" s="19" t="s">
        <v>1709</v>
      </c>
      <c r="F871" s="18" t="s">
        <v>2631</v>
      </c>
      <c r="G871" s="18" t="n">
        <v>0.5</v>
      </c>
      <c r="H871" s="18" t="s">
        <v>2626</v>
      </c>
      <c r="I871" s="19" t="s">
        <v>2639</v>
      </c>
      <c r="J871" s="18"/>
    </row>
    <row r="872" customFormat="false" ht="22.35" hidden="false" customHeight="false" outlineLevel="0" collapsed="false">
      <c r="A872" s="18" t="s">
        <v>1710</v>
      </c>
      <c r="B872" s="18" t="s">
        <v>55</v>
      </c>
      <c r="C872" s="18" t="s">
        <v>259</v>
      </c>
      <c r="D872" s="18" t="s">
        <v>164</v>
      </c>
      <c r="E872" s="19" t="s">
        <v>1711</v>
      </c>
      <c r="F872" s="18" t="s">
        <v>2631</v>
      </c>
      <c r="G872" s="18" t="n">
        <v>0.33</v>
      </c>
      <c r="H872" s="18" t="s">
        <v>2667</v>
      </c>
      <c r="I872" s="19" t="s">
        <v>2639</v>
      </c>
      <c r="J872" s="18"/>
    </row>
    <row r="873" customFormat="false" ht="32.8" hidden="false" customHeight="false" outlineLevel="0" collapsed="false">
      <c r="A873" s="18" t="s">
        <v>1712</v>
      </c>
      <c r="B873" s="18" t="s">
        <v>55</v>
      </c>
      <c r="C873" s="18" t="s">
        <v>259</v>
      </c>
      <c r="D873" s="18" t="s">
        <v>164</v>
      </c>
      <c r="E873" s="19" t="s">
        <v>1713</v>
      </c>
      <c r="F873" s="18" t="s">
        <v>2631</v>
      </c>
      <c r="G873" s="18" t="n">
        <v>0.46</v>
      </c>
      <c r="H873" s="18" t="s">
        <v>2633</v>
      </c>
      <c r="I873" s="19" t="s">
        <v>2639</v>
      </c>
      <c r="J873" s="18"/>
    </row>
    <row r="874" customFormat="false" ht="32.8" hidden="false" customHeight="false" outlineLevel="0" collapsed="false">
      <c r="A874" s="18" t="s">
        <v>1714</v>
      </c>
      <c r="B874" s="18" t="s">
        <v>55</v>
      </c>
      <c r="C874" s="18" t="s">
        <v>259</v>
      </c>
      <c r="D874" s="18" t="s">
        <v>164</v>
      </c>
      <c r="E874" s="19" t="s">
        <v>1715</v>
      </c>
      <c r="F874" s="18" t="s">
        <v>2631</v>
      </c>
      <c r="G874" s="18" t="n">
        <v>0.61</v>
      </c>
      <c r="H874" s="18" t="s">
        <v>2667</v>
      </c>
      <c r="I874" s="19" t="s">
        <v>2639</v>
      </c>
      <c r="J874" s="18"/>
    </row>
    <row r="875" customFormat="false" ht="22.35" hidden="false" customHeight="false" outlineLevel="0" collapsed="false">
      <c r="A875" s="18" t="s">
        <v>1716</v>
      </c>
      <c r="B875" s="18" t="s">
        <v>55</v>
      </c>
      <c r="C875" s="18" t="s">
        <v>259</v>
      </c>
      <c r="D875" s="18" t="s">
        <v>164</v>
      </c>
      <c r="E875" s="19" t="s">
        <v>1717</v>
      </c>
      <c r="F875" s="18" t="s">
        <v>2631</v>
      </c>
      <c r="G875" s="18" t="n">
        <v>0.33</v>
      </c>
      <c r="H875" s="18" t="s">
        <v>2625</v>
      </c>
      <c r="I875" s="19" t="s">
        <v>2639</v>
      </c>
      <c r="J875" s="18"/>
    </row>
    <row r="876" customFormat="false" ht="22.35" hidden="false" customHeight="false" outlineLevel="0" collapsed="false">
      <c r="A876" s="18" t="s">
        <v>1718</v>
      </c>
      <c r="B876" s="18" t="s">
        <v>55</v>
      </c>
      <c r="C876" s="18" t="s">
        <v>259</v>
      </c>
      <c r="D876" s="18" t="s">
        <v>164</v>
      </c>
      <c r="E876" s="19" t="s">
        <v>1719</v>
      </c>
      <c r="F876" s="18" t="s">
        <v>2631</v>
      </c>
      <c r="G876" s="18" t="n">
        <v>0.14</v>
      </c>
      <c r="H876" s="18"/>
      <c r="I876" s="19" t="s">
        <v>2639</v>
      </c>
      <c r="J876" s="18"/>
    </row>
    <row r="877" customFormat="false" ht="22.35" hidden="false" customHeight="false" outlineLevel="0" collapsed="false">
      <c r="A877" s="18" t="s">
        <v>1720</v>
      </c>
      <c r="B877" s="18" t="s">
        <v>55</v>
      </c>
      <c r="C877" s="18" t="s">
        <v>259</v>
      </c>
      <c r="D877" s="18" t="s">
        <v>164</v>
      </c>
      <c r="E877" s="19" t="s">
        <v>914</v>
      </c>
      <c r="F877" s="18" t="s">
        <v>2631</v>
      </c>
      <c r="G877" s="18" t="n">
        <v>0.25</v>
      </c>
      <c r="H877" s="18"/>
      <c r="I877" s="19" t="s">
        <v>2639</v>
      </c>
      <c r="J877" s="18"/>
    </row>
    <row r="878" customFormat="false" ht="22.35" hidden="false" customHeight="false" outlineLevel="0" collapsed="false">
      <c r="A878" s="18" t="s">
        <v>1721</v>
      </c>
      <c r="B878" s="18" t="s">
        <v>55</v>
      </c>
      <c r="C878" s="18" t="s">
        <v>259</v>
      </c>
      <c r="D878" s="18" t="s">
        <v>164</v>
      </c>
      <c r="E878" s="19" t="s">
        <v>703</v>
      </c>
      <c r="F878" s="18" t="s">
        <v>2631</v>
      </c>
      <c r="G878" s="18" t="n">
        <v>0.07</v>
      </c>
      <c r="H878" s="18"/>
      <c r="I878" s="19" t="s">
        <v>2639</v>
      </c>
      <c r="J878" s="18"/>
    </row>
    <row r="879" customFormat="false" ht="15" hidden="false" customHeight="false" outlineLevel="0" collapsed="false">
      <c r="A879" s="18" t="s">
        <v>1722</v>
      </c>
      <c r="B879" s="18" t="s">
        <v>55</v>
      </c>
      <c r="C879" s="18" t="s">
        <v>259</v>
      </c>
      <c r="D879" s="18" t="s">
        <v>478</v>
      </c>
      <c r="E879" s="19" t="s">
        <v>1723</v>
      </c>
      <c r="F879" s="18" t="s">
        <v>2624</v>
      </c>
      <c r="G879" s="18" t="n">
        <v>1</v>
      </c>
      <c r="H879" s="18" t="s">
        <v>2625</v>
      </c>
      <c r="I879" s="19"/>
      <c r="J879" s="18"/>
    </row>
    <row r="880" customFormat="false" ht="15" hidden="false" customHeight="false" outlineLevel="0" collapsed="false">
      <c r="A880" s="18" t="s">
        <v>1724</v>
      </c>
      <c r="B880" s="18" t="s">
        <v>55</v>
      </c>
      <c r="C880" s="18" t="s">
        <v>259</v>
      </c>
      <c r="D880" s="18" t="s">
        <v>478</v>
      </c>
      <c r="E880" s="19" t="s">
        <v>1725</v>
      </c>
      <c r="F880" s="18" t="s">
        <v>2624</v>
      </c>
      <c r="G880" s="18" t="n">
        <v>1</v>
      </c>
      <c r="H880" s="18" t="s">
        <v>2625</v>
      </c>
      <c r="I880" s="19"/>
      <c r="J880" s="18"/>
    </row>
    <row r="881" customFormat="false" ht="22.35" hidden="false" customHeight="false" outlineLevel="0" collapsed="false">
      <c r="A881" s="18" t="s">
        <v>1726</v>
      </c>
      <c r="B881" s="18" t="s">
        <v>55</v>
      </c>
      <c r="C881" s="18" t="s">
        <v>259</v>
      </c>
      <c r="D881" s="18" t="s">
        <v>478</v>
      </c>
      <c r="E881" s="19" t="s">
        <v>1727</v>
      </c>
      <c r="F881" s="18" t="s">
        <v>2648</v>
      </c>
      <c r="G881" s="18" t="n">
        <v>0</v>
      </c>
      <c r="H881" s="18"/>
      <c r="I881" s="19" t="s">
        <v>2649</v>
      </c>
      <c r="J881" s="18"/>
    </row>
    <row r="882" customFormat="false" ht="22.35" hidden="false" customHeight="false" outlineLevel="0" collapsed="false">
      <c r="A882" s="18" t="s">
        <v>1728</v>
      </c>
      <c r="B882" s="18" t="s">
        <v>55</v>
      </c>
      <c r="C882" s="18" t="s">
        <v>259</v>
      </c>
      <c r="D882" s="18" t="s">
        <v>478</v>
      </c>
      <c r="E882" s="19" t="s">
        <v>1729</v>
      </c>
      <c r="F882" s="18" t="s">
        <v>2630</v>
      </c>
      <c r="G882" s="18" t="n">
        <v>0.82</v>
      </c>
      <c r="H882" s="18" t="s">
        <v>2665</v>
      </c>
      <c r="I882" s="19"/>
      <c r="J882" s="18"/>
    </row>
    <row r="883" customFormat="false" ht="22.35" hidden="false" customHeight="false" outlineLevel="0" collapsed="false">
      <c r="A883" s="18" t="s">
        <v>1730</v>
      </c>
      <c r="B883" s="18" t="s">
        <v>55</v>
      </c>
      <c r="C883" s="18" t="s">
        <v>259</v>
      </c>
      <c r="D883" s="18" t="s">
        <v>478</v>
      </c>
      <c r="E883" s="19" t="s">
        <v>1731</v>
      </c>
      <c r="F883" s="18" t="s">
        <v>2648</v>
      </c>
      <c r="G883" s="18" t="n">
        <v>0.29</v>
      </c>
      <c r="H883" s="18"/>
      <c r="I883" s="19" t="s">
        <v>2649</v>
      </c>
      <c r="J883" s="18"/>
    </row>
    <row r="884" customFormat="false" ht="22.35" hidden="false" customHeight="false" outlineLevel="0" collapsed="false">
      <c r="A884" s="18" t="s">
        <v>1732</v>
      </c>
      <c r="B884" s="18" t="s">
        <v>55</v>
      </c>
      <c r="C884" s="18" t="s">
        <v>259</v>
      </c>
      <c r="D884" s="18" t="s">
        <v>478</v>
      </c>
      <c r="E884" s="19" t="s">
        <v>1733</v>
      </c>
      <c r="F884" s="18" t="s">
        <v>2631</v>
      </c>
      <c r="G884" s="18" t="n">
        <v>0.5</v>
      </c>
      <c r="H884" s="18" t="s">
        <v>2625</v>
      </c>
      <c r="I884" s="19" t="s">
        <v>2646</v>
      </c>
      <c r="J884" s="18"/>
    </row>
    <row r="885" customFormat="false" ht="22.35" hidden="false" customHeight="false" outlineLevel="0" collapsed="false">
      <c r="A885" s="18" t="s">
        <v>1734</v>
      </c>
      <c r="B885" s="18" t="s">
        <v>55</v>
      </c>
      <c r="C885" s="18" t="s">
        <v>259</v>
      </c>
      <c r="D885" s="18" t="s">
        <v>478</v>
      </c>
      <c r="E885" s="19" t="s">
        <v>1735</v>
      </c>
      <c r="F885" s="18" t="s">
        <v>2648</v>
      </c>
      <c r="G885" s="18" t="n">
        <v>0</v>
      </c>
      <c r="H885" s="18"/>
      <c r="I885" s="19" t="s">
        <v>2649</v>
      </c>
      <c r="J885" s="18"/>
    </row>
    <row r="886" customFormat="false" ht="15" hidden="false" customHeight="false" outlineLevel="0" collapsed="false">
      <c r="A886" s="18" t="s">
        <v>1736</v>
      </c>
      <c r="B886" s="18" t="s">
        <v>55</v>
      </c>
      <c r="C886" s="18" t="s">
        <v>259</v>
      </c>
      <c r="D886" s="18" t="s">
        <v>478</v>
      </c>
      <c r="E886" s="19" t="s">
        <v>1737</v>
      </c>
      <c r="F886" s="18" t="s">
        <v>2630</v>
      </c>
      <c r="G886" s="18" t="n">
        <v>0.77</v>
      </c>
      <c r="H886" s="18" t="s">
        <v>2665</v>
      </c>
      <c r="I886" s="19"/>
      <c r="J886" s="18"/>
    </row>
    <row r="887" customFormat="false" ht="22.35" hidden="false" customHeight="false" outlineLevel="0" collapsed="false">
      <c r="A887" s="18" t="s">
        <v>1738</v>
      </c>
      <c r="B887" s="18" t="s">
        <v>55</v>
      </c>
      <c r="C887" s="18" t="s">
        <v>259</v>
      </c>
      <c r="D887" s="18" t="s">
        <v>478</v>
      </c>
      <c r="E887" s="19" t="s">
        <v>1739</v>
      </c>
      <c r="F887" s="18" t="s">
        <v>2648</v>
      </c>
      <c r="G887" s="18" t="n">
        <v>0.2</v>
      </c>
      <c r="H887" s="18"/>
      <c r="I887" s="19" t="s">
        <v>2649</v>
      </c>
      <c r="J887" s="18"/>
    </row>
    <row r="888" customFormat="false" ht="15" hidden="false" customHeight="false" outlineLevel="0" collapsed="false">
      <c r="A888" s="18" t="s">
        <v>1740</v>
      </c>
      <c r="B888" s="18" t="s">
        <v>55</v>
      </c>
      <c r="C888" s="18" t="s">
        <v>259</v>
      </c>
      <c r="D888" s="18" t="s">
        <v>478</v>
      </c>
      <c r="E888" s="19" t="s">
        <v>1741</v>
      </c>
      <c r="F888" s="18" t="s">
        <v>2624</v>
      </c>
      <c r="G888" s="18" t="n">
        <v>1</v>
      </c>
      <c r="H888" s="18" t="s">
        <v>2633</v>
      </c>
      <c r="I888" s="19"/>
      <c r="J888" s="18"/>
    </row>
    <row r="889" customFormat="false" ht="15" hidden="false" customHeight="false" outlineLevel="0" collapsed="false">
      <c r="A889" s="18" t="s">
        <v>1742</v>
      </c>
      <c r="B889" s="18" t="s">
        <v>55</v>
      </c>
      <c r="C889" s="18" t="s">
        <v>259</v>
      </c>
      <c r="D889" s="18" t="s">
        <v>478</v>
      </c>
      <c r="E889" s="19" t="s">
        <v>1743</v>
      </c>
      <c r="F889" s="18" t="s">
        <v>2624</v>
      </c>
      <c r="G889" s="18" t="n">
        <v>1</v>
      </c>
      <c r="H889" s="18" t="s">
        <v>2633</v>
      </c>
      <c r="I889" s="19"/>
      <c r="J889" s="18"/>
    </row>
    <row r="890" customFormat="false" ht="15" hidden="false" customHeight="false" outlineLevel="0" collapsed="false">
      <c r="A890" s="18" t="s">
        <v>1744</v>
      </c>
      <c r="B890" s="18" t="s">
        <v>55</v>
      </c>
      <c r="C890" s="18" t="s">
        <v>259</v>
      </c>
      <c r="D890" s="18" t="s">
        <v>478</v>
      </c>
      <c r="E890" s="19" t="s">
        <v>1745</v>
      </c>
      <c r="F890" s="18" t="s">
        <v>2624</v>
      </c>
      <c r="G890" s="18" t="n">
        <v>1</v>
      </c>
      <c r="H890" s="18" t="s">
        <v>2633</v>
      </c>
      <c r="I890" s="19"/>
      <c r="J890" s="18"/>
    </row>
    <row r="891" customFormat="false" ht="15" hidden="false" customHeight="false" outlineLevel="0" collapsed="false">
      <c r="A891" s="18" t="s">
        <v>1746</v>
      </c>
      <c r="B891" s="18" t="s">
        <v>55</v>
      </c>
      <c r="C891" s="18" t="s">
        <v>259</v>
      </c>
      <c r="D891" s="18" t="s">
        <v>478</v>
      </c>
      <c r="E891" s="19" t="s">
        <v>1747</v>
      </c>
      <c r="F891" s="18" t="s">
        <v>2624</v>
      </c>
      <c r="G891" s="18" t="n">
        <v>1</v>
      </c>
      <c r="H891" s="18" t="s">
        <v>2633</v>
      </c>
      <c r="I891" s="19"/>
      <c r="J891" s="18"/>
    </row>
    <row r="892" customFormat="false" ht="15" hidden="false" customHeight="false" outlineLevel="0" collapsed="false">
      <c r="A892" s="18" t="s">
        <v>1748</v>
      </c>
      <c r="B892" s="18" t="s">
        <v>55</v>
      </c>
      <c r="C892" s="18" t="s">
        <v>259</v>
      </c>
      <c r="D892" s="18" t="s">
        <v>478</v>
      </c>
      <c r="E892" s="19" t="s">
        <v>1749</v>
      </c>
      <c r="F892" s="18" t="s">
        <v>2624</v>
      </c>
      <c r="G892" s="18" t="n">
        <v>1</v>
      </c>
      <c r="H892" s="18" t="s">
        <v>2633</v>
      </c>
      <c r="I892" s="19"/>
      <c r="J892" s="18"/>
    </row>
    <row r="893" customFormat="false" ht="15" hidden="false" customHeight="false" outlineLevel="0" collapsed="false">
      <c r="A893" s="18" t="s">
        <v>1750</v>
      </c>
      <c r="B893" s="18" t="s">
        <v>55</v>
      </c>
      <c r="C893" s="18" t="s">
        <v>259</v>
      </c>
      <c r="D893" s="18" t="s">
        <v>478</v>
      </c>
      <c r="E893" s="19" t="s">
        <v>1751</v>
      </c>
      <c r="F893" s="18" t="s">
        <v>2624</v>
      </c>
      <c r="G893" s="18" t="n">
        <v>1</v>
      </c>
      <c r="H893" s="18" t="s">
        <v>2633</v>
      </c>
      <c r="I893" s="19"/>
      <c r="J893" s="18"/>
    </row>
    <row r="894" customFormat="false" ht="15" hidden="false" customHeight="false" outlineLevel="0" collapsed="false">
      <c r="A894" s="18" t="s">
        <v>1752</v>
      </c>
      <c r="B894" s="18" t="s">
        <v>55</v>
      </c>
      <c r="C894" s="18" t="s">
        <v>259</v>
      </c>
      <c r="D894" s="18" t="s">
        <v>478</v>
      </c>
      <c r="E894" s="19" t="s">
        <v>1753</v>
      </c>
      <c r="F894" s="18" t="s">
        <v>2624</v>
      </c>
      <c r="G894" s="18" t="n">
        <v>1</v>
      </c>
      <c r="H894" s="18" t="s">
        <v>2633</v>
      </c>
      <c r="I894" s="19"/>
      <c r="J894" s="18"/>
    </row>
    <row r="895" customFormat="false" ht="15" hidden="false" customHeight="false" outlineLevel="0" collapsed="false">
      <c r="A895" s="18" t="s">
        <v>1754</v>
      </c>
      <c r="B895" s="18" t="s">
        <v>55</v>
      </c>
      <c r="C895" s="18" t="s">
        <v>259</v>
      </c>
      <c r="D895" s="18" t="s">
        <v>478</v>
      </c>
      <c r="E895" s="19" t="s">
        <v>1755</v>
      </c>
      <c r="F895" s="18" t="s">
        <v>2624</v>
      </c>
      <c r="G895" s="18" t="n">
        <v>1</v>
      </c>
      <c r="H895" s="18" t="s">
        <v>2633</v>
      </c>
      <c r="I895" s="19"/>
      <c r="J895" s="18"/>
    </row>
    <row r="896" customFormat="false" ht="22.35" hidden="false" customHeight="false" outlineLevel="0" collapsed="false">
      <c r="A896" s="18" t="s">
        <v>1756</v>
      </c>
      <c r="B896" s="18" t="s">
        <v>55</v>
      </c>
      <c r="C896" s="18" t="s">
        <v>259</v>
      </c>
      <c r="D896" s="18" t="s">
        <v>478</v>
      </c>
      <c r="E896" s="19" t="s">
        <v>1757</v>
      </c>
      <c r="F896" s="18" t="s">
        <v>2648</v>
      </c>
      <c r="G896" s="18" t="n">
        <v>0.25</v>
      </c>
      <c r="H896" s="18"/>
      <c r="I896" s="19" t="s">
        <v>2649</v>
      </c>
      <c r="J896" s="18"/>
    </row>
    <row r="897" customFormat="false" ht="22.35" hidden="false" customHeight="false" outlineLevel="0" collapsed="false">
      <c r="A897" s="18" t="s">
        <v>1758</v>
      </c>
      <c r="B897" s="18" t="s">
        <v>55</v>
      </c>
      <c r="C897" s="18" t="s">
        <v>259</v>
      </c>
      <c r="D897" s="18" t="s">
        <v>478</v>
      </c>
      <c r="E897" s="19" t="s">
        <v>1759</v>
      </c>
      <c r="F897" s="18" t="s">
        <v>2648</v>
      </c>
      <c r="G897" s="18" t="n">
        <v>0</v>
      </c>
      <c r="H897" s="18"/>
      <c r="I897" s="19" t="s">
        <v>2649</v>
      </c>
      <c r="J897" s="18"/>
    </row>
    <row r="898" customFormat="false" ht="22.35" hidden="false" customHeight="false" outlineLevel="0" collapsed="false">
      <c r="A898" s="18" t="s">
        <v>1760</v>
      </c>
      <c r="B898" s="18" t="s">
        <v>55</v>
      </c>
      <c r="C898" s="18" t="s">
        <v>259</v>
      </c>
      <c r="D898" s="18" t="s">
        <v>478</v>
      </c>
      <c r="E898" s="19" t="s">
        <v>1761</v>
      </c>
      <c r="F898" s="18" t="s">
        <v>2648</v>
      </c>
      <c r="G898" s="18" t="n">
        <v>0</v>
      </c>
      <c r="H898" s="18"/>
      <c r="I898" s="19" t="s">
        <v>2649</v>
      </c>
      <c r="J898" s="18"/>
    </row>
    <row r="899" customFormat="false" ht="22.35" hidden="false" customHeight="false" outlineLevel="0" collapsed="false">
      <c r="A899" s="18" t="s">
        <v>1762</v>
      </c>
      <c r="B899" s="18" t="s">
        <v>55</v>
      </c>
      <c r="C899" s="18" t="s">
        <v>259</v>
      </c>
      <c r="D899" s="18" t="s">
        <v>478</v>
      </c>
      <c r="E899" s="19" t="s">
        <v>1763</v>
      </c>
      <c r="F899" s="18" t="s">
        <v>2648</v>
      </c>
      <c r="G899" s="18" t="n">
        <v>0.17</v>
      </c>
      <c r="H899" s="18"/>
      <c r="I899" s="19" t="s">
        <v>2649</v>
      </c>
      <c r="J899" s="18"/>
    </row>
    <row r="900" customFormat="false" ht="15" hidden="false" customHeight="false" outlineLevel="0" collapsed="false">
      <c r="A900" s="18" t="s">
        <v>1764</v>
      </c>
      <c r="B900" s="18" t="s">
        <v>55</v>
      </c>
      <c r="C900" s="18" t="s">
        <v>259</v>
      </c>
      <c r="D900" s="18" t="s">
        <v>478</v>
      </c>
      <c r="E900" s="19" t="s">
        <v>491</v>
      </c>
      <c r="F900" s="18" t="s">
        <v>2624</v>
      </c>
      <c r="G900" s="18" t="n">
        <v>1</v>
      </c>
      <c r="H900" s="18" t="s">
        <v>2650</v>
      </c>
      <c r="I900" s="19"/>
      <c r="J900" s="18"/>
    </row>
    <row r="901" customFormat="false" ht="22.35" hidden="false" customHeight="false" outlineLevel="0" collapsed="false">
      <c r="A901" s="18" t="s">
        <v>1765</v>
      </c>
      <c r="B901" s="18" t="s">
        <v>55</v>
      </c>
      <c r="C901" s="18" t="s">
        <v>259</v>
      </c>
      <c r="D901" s="18" t="s">
        <v>478</v>
      </c>
      <c r="E901" s="19" t="s">
        <v>1766</v>
      </c>
      <c r="F901" s="18" t="s">
        <v>2624</v>
      </c>
      <c r="G901" s="18" t="n">
        <v>1</v>
      </c>
      <c r="H901" s="18" t="s">
        <v>2650</v>
      </c>
      <c r="I901" s="19"/>
      <c r="J901" s="18"/>
    </row>
    <row r="902" customFormat="false" ht="15" hidden="false" customHeight="false" outlineLevel="0" collapsed="false">
      <c r="A902" s="18" t="s">
        <v>1767</v>
      </c>
      <c r="B902" s="18" t="s">
        <v>55</v>
      </c>
      <c r="C902" s="18" t="s">
        <v>259</v>
      </c>
      <c r="D902" s="18" t="s">
        <v>478</v>
      </c>
      <c r="E902" s="19" t="s">
        <v>720</v>
      </c>
      <c r="F902" s="18" t="s">
        <v>2624</v>
      </c>
      <c r="G902" s="18" t="n">
        <v>1</v>
      </c>
      <c r="H902" s="18" t="s">
        <v>2650</v>
      </c>
      <c r="I902" s="19"/>
      <c r="J902" s="18"/>
    </row>
    <row r="903" customFormat="false" ht="22.35" hidden="false" customHeight="false" outlineLevel="0" collapsed="false">
      <c r="A903" s="18" t="s">
        <v>1768</v>
      </c>
      <c r="B903" s="18" t="s">
        <v>55</v>
      </c>
      <c r="C903" s="18" t="s">
        <v>259</v>
      </c>
      <c r="D903" s="18" t="s">
        <v>478</v>
      </c>
      <c r="E903" s="19" t="s">
        <v>1769</v>
      </c>
      <c r="F903" s="18" t="s">
        <v>2624</v>
      </c>
      <c r="G903" s="18" t="n">
        <v>1</v>
      </c>
      <c r="H903" s="18" t="s">
        <v>2650</v>
      </c>
      <c r="I903" s="19"/>
      <c r="J903" s="18"/>
    </row>
    <row r="904" customFormat="false" ht="22.35" hidden="false" customHeight="false" outlineLevel="0" collapsed="false">
      <c r="A904" s="18" t="s">
        <v>1770</v>
      </c>
      <c r="B904" s="18" t="s">
        <v>55</v>
      </c>
      <c r="C904" s="18" t="s">
        <v>259</v>
      </c>
      <c r="D904" s="18" t="s">
        <v>478</v>
      </c>
      <c r="E904" s="19" t="s">
        <v>1771</v>
      </c>
      <c r="F904" s="18" t="s">
        <v>2624</v>
      </c>
      <c r="G904" s="18" t="n">
        <v>1</v>
      </c>
      <c r="H904" s="18" t="s">
        <v>2650</v>
      </c>
      <c r="I904" s="19"/>
      <c r="J904" s="18"/>
    </row>
    <row r="905" customFormat="false" ht="15" hidden="false" customHeight="false" outlineLevel="0" collapsed="false">
      <c r="A905" s="18" t="s">
        <v>1772</v>
      </c>
      <c r="B905" s="18" t="s">
        <v>55</v>
      </c>
      <c r="C905" s="18" t="s">
        <v>259</v>
      </c>
      <c r="D905" s="18" t="s">
        <v>478</v>
      </c>
      <c r="E905" s="19" t="s">
        <v>1773</v>
      </c>
      <c r="F905" s="18" t="s">
        <v>2624</v>
      </c>
      <c r="G905" s="18" t="n">
        <v>1</v>
      </c>
      <c r="H905" s="18" t="s">
        <v>2650</v>
      </c>
      <c r="I905" s="19"/>
      <c r="J905" s="18"/>
    </row>
    <row r="906" customFormat="false" ht="32.8" hidden="false" customHeight="false" outlineLevel="0" collapsed="false">
      <c r="A906" s="18" t="s">
        <v>1774</v>
      </c>
      <c r="B906" s="18" t="s">
        <v>55</v>
      </c>
      <c r="C906" s="18" t="s">
        <v>259</v>
      </c>
      <c r="D906" s="18" t="s">
        <v>478</v>
      </c>
      <c r="E906" s="19" t="s">
        <v>1775</v>
      </c>
      <c r="F906" s="18" t="s">
        <v>2630</v>
      </c>
      <c r="G906" s="18" t="n">
        <v>0.58</v>
      </c>
      <c r="H906" s="18" t="s">
        <v>2668</v>
      </c>
      <c r="I906" s="19"/>
      <c r="J906" s="18"/>
    </row>
    <row r="907" customFormat="false" ht="15" hidden="false" customHeight="false" outlineLevel="0" collapsed="false">
      <c r="A907" s="18" t="s">
        <v>1776</v>
      </c>
      <c r="B907" s="18" t="s">
        <v>57</v>
      </c>
      <c r="C907" s="18" t="s">
        <v>1778</v>
      </c>
      <c r="D907" s="18" t="s">
        <v>158</v>
      </c>
      <c r="E907" s="19" t="s">
        <v>1777</v>
      </c>
      <c r="F907" s="18" t="s">
        <v>2636</v>
      </c>
      <c r="G907" s="18" t="n">
        <v>0.2</v>
      </c>
      <c r="H907" s="18"/>
      <c r="I907" s="19" t="s">
        <v>2637</v>
      </c>
      <c r="J907" s="18"/>
    </row>
    <row r="908" customFormat="false" ht="15" hidden="false" customHeight="false" outlineLevel="0" collapsed="false">
      <c r="A908" s="18" t="s">
        <v>1779</v>
      </c>
      <c r="B908" s="18" t="s">
        <v>57</v>
      </c>
      <c r="C908" s="18" t="s">
        <v>1778</v>
      </c>
      <c r="D908" s="18" t="s">
        <v>158</v>
      </c>
      <c r="E908" s="19" t="s">
        <v>1780</v>
      </c>
      <c r="F908" s="18" t="s">
        <v>2636</v>
      </c>
      <c r="G908" s="18" t="n">
        <v>0</v>
      </c>
      <c r="H908" s="18"/>
      <c r="I908" s="19" t="s">
        <v>2637</v>
      </c>
      <c r="J908" s="18"/>
    </row>
    <row r="909" customFormat="false" ht="15" hidden="false" customHeight="false" outlineLevel="0" collapsed="false">
      <c r="A909" s="18" t="s">
        <v>1781</v>
      </c>
      <c r="B909" s="18" t="s">
        <v>57</v>
      </c>
      <c r="C909" s="18" t="s">
        <v>1778</v>
      </c>
      <c r="D909" s="18" t="s">
        <v>93</v>
      </c>
      <c r="E909" s="19" t="s">
        <v>92</v>
      </c>
      <c r="F909" s="18" t="s">
        <v>2624</v>
      </c>
      <c r="G909" s="18" t="n">
        <v>1</v>
      </c>
      <c r="H909" s="18" t="s">
        <v>2625</v>
      </c>
      <c r="I909" s="19"/>
      <c r="J909" s="18"/>
    </row>
    <row r="910" customFormat="false" ht="15" hidden="false" customHeight="false" outlineLevel="0" collapsed="false">
      <c r="A910" s="18" t="s">
        <v>1782</v>
      </c>
      <c r="B910" s="18" t="s">
        <v>57</v>
      </c>
      <c r="C910" s="18" t="s">
        <v>1778</v>
      </c>
      <c r="D910" s="18" t="s">
        <v>93</v>
      </c>
      <c r="E910" s="19" t="s">
        <v>99</v>
      </c>
      <c r="F910" s="18" t="s">
        <v>2627</v>
      </c>
      <c r="G910" s="18" t="n">
        <v>0</v>
      </c>
      <c r="H910" s="18"/>
      <c r="I910" s="19" t="s">
        <v>2628</v>
      </c>
      <c r="J910" s="18"/>
    </row>
    <row r="911" customFormat="false" ht="15" hidden="false" customHeight="false" outlineLevel="0" collapsed="false">
      <c r="A911" s="18" t="s">
        <v>1783</v>
      </c>
      <c r="B911" s="18" t="s">
        <v>57</v>
      </c>
      <c r="C911" s="18" t="s">
        <v>1778</v>
      </c>
      <c r="D911" s="18" t="s">
        <v>93</v>
      </c>
      <c r="E911" s="19" t="s">
        <v>737</v>
      </c>
      <c r="F911" s="18" t="s">
        <v>2627</v>
      </c>
      <c r="G911" s="18" t="n">
        <v>0</v>
      </c>
      <c r="H911" s="18"/>
      <c r="I911" s="19" t="s">
        <v>2628</v>
      </c>
      <c r="J911" s="18"/>
    </row>
    <row r="912" customFormat="false" ht="15" hidden="false" customHeight="false" outlineLevel="0" collapsed="false">
      <c r="A912" s="18" t="s">
        <v>1784</v>
      </c>
      <c r="B912" s="18" t="s">
        <v>57</v>
      </c>
      <c r="C912" s="18" t="s">
        <v>1778</v>
      </c>
      <c r="D912" s="18" t="s">
        <v>93</v>
      </c>
      <c r="E912" s="19" t="s">
        <v>1785</v>
      </c>
      <c r="F912" s="18" t="s">
        <v>2627</v>
      </c>
      <c r="G912" s="18" t="n">
        <v>0</v>
      </c>
      <c r="H912" s="18"/>
      <c r="I912" s="19" t="s">
        <v>2628</v>
      </c>
      <c r="J912" s="18"/>
    </row>
    <row r="913" customFormat="false" ht="15" hidden="false" customHeight="false" outlineLevel="0" collapsed="false">
      <c r="A913" s="18" t="s">
        <v>1786</v>
      </c>
      <c r="B913" s="18" t="s">
        <v>57</v>
      </c>
      <c r="C913" s="18" t="s">
        <v>1778</v>
      </c>
      <c r="D913" s="18" t="s">
        <v>93</v>
      </c>
      <c r="E913" s="19" t="s">
        <v>1787</v>
      </c>
      <c r="F913" s="18" t="s">
        <v>2627</v>
      </c>
      <c r="G913" s="18" t="n">
        <v>0</v>
      </c>
      <c r="H913" s="18"/>
      <c r="I913" s="19" t="s">
        <v>2628</v>
      </c>
      <c r="J913" s="18"/>
    </row>
    <row r="914" customFormat="false" ht="22.35" hidden="false" customHeight="false" outlineLevel="0" collapsed="false">
      <c r="A914" s="18" t="s">
        <v>1788</v>
      </c>
      <c r="B914" s="18" t="s">
        <v>57</v>
      </c>
      <c r="C914" s="18" t="s">
        <v>1778</v>
      </c>
      <c r="D914" s="18" t="s">
        <v>93</v>
      </c>
      <c r="E914" s="19" t="s">
        <v>1789</v>
      </c>
      <c r="F914" s="18" t="s">
        <v>2627</v>
      </c>
      <c r="G914" s="18" t="n">
        <v>0.06</v>
      </c>
      <c r="H914" s="18"/>
      <c r="I914" s="19" t="s">
        <v>2628</v>
      </c>
      <c r="J914" s="18"/>
    </row>
    <row r="915" customFormat="false" ht="22.35" hidden="false" customHeight="false" outlineLevel="0" collapsed="false">
      <c r="A915" s="18" t="s">
        <v>1790</v>
      </c>
      <c r="B915" s="18" t="s">
        <v>57</v>
      </c>
      <c r="C915" s="18" t="s">
        <v>1778</v>
      </c>
      <c r="D915" s="18" t="s">
        <v>93</v>
      </c>
      <c r="E915" s="19" t="s">
        <v>1791</v>
      </c>
      <c r="F915" s="18" t="s">
        <v>2627</v>
      </c>
      <c r="G915" s="18" t="n">
        <v>0</v>
      </c>
      <c r="H915" s="18"/>
      <c r="I915" s="19" t="s">
        <v>2628</v>
      </c>
      <c r="J915" s="18"/>
    </row>
    <row r="916" customFormat="false" ht="43.25" hidden="false" customHeight="false" outlineLevel="0" collapsed="false">
      <c r="A916" s="18" t="s">
        <v>1792</v>
      </c>
      <c r="B916" s="18" t="s">
        <v>57</v>
      </c>
      <c r="C916" s="18" t="s">
        <v>1778</v>
      </c>
      <c r="D916" s="18" t="s">
        <v>93</v>
      </c>
      <c r="E916" s="19" t="s">
        <v>1793</v>
      </c>
      <c r="F916" s="18" t="s">
        <v>2627</v>
      </c>
      <c r="G916" s="18" t="n">
        <v>0.11</v>
      </c>
      <c r="H916" s="18"/>
      <c r="I916" s="19" t="s">
        <v>2628</v>
      </c>
      <c r="J916" s="18"/>
    </row>
    <row r="917" customFormat="false" ht="15" hidden="false" customHeight="false" outlineLevel="0" collapsed="false">
      <c r="A917" s="18" t="s">
        <v>1794</v>
      </c>
      <c r="B917" s="18" t="s">
        <v>57</v>
      </c>
      <c r="C917" s="18" t="s">
        <v>1778</v>
      </c>
      <c r="D917" s="18" t="s">
        <v>93</v>
      </c>
      <c r="E917" s="19" t="s">
        <v>525</v>
      </c>
      <c r="F917" s="18" t="s">
        <v>2624</v>
      </c>
      <c r="G917" s="18" t="n">
        <v>1</v>
      </c>
      <c r="H917" s="18" t="s">
        <v>2625</v>
      </c>
      <c r="I917" s="19"/>
      <c r="J917" s="18"/>
    </row>
    <row r="918" customFormat="false" ht="15" hidden="false" customHeight="false" outlineLevel="0" collapsed="false">
      <c r="A918" s="18" t="s">
        <v>1795</v>
      </c>
      <c r="B918" s="18" t="s">
        <v>57</v>
      </c>
      <c r="C918" s="18" t="s">
        <v>1778</v>
      </c>
      <c r="D918" s="18" t="s">
        <v>93</v>
      </c>
      <c r="E918" s="19" t="s">
        <v>115</v>
      </c>
      <c r="F918" s="18" t="s">
        <v>2627</v>
      </c>
      <c r="G918" s="18" t="n">
        <v>0</v>
      </c>
      <c r="H918" s="18"/>
      <c r="I918" s="19" t="s">
        <v>2628</v>
      </c>
      <c r="J918" s="18"/>
    </row>
    <row r="919" customFormat="false" ht="15" hidden="false" customHeight="false" outlineLevel="0" collapsed="false">
      <c r="A919" s="18" t="s">
        <v>1796</v>
      </c>
      <c r="B919" s="18" t="s">
        <v>57</v>
      </c>
      <c r="C919" s="18" t="s">
        <v>1778</v>
      </c>
      <c r="D919" s="18" t="s">
        <v>93</v>
      </c>
      <c r="E919" s="19" t="s">
        <v>117</v>
      </c>
      <c r="F919" s="18" t="s">
        <v>2627</v>
      </c>
      <c r="G919" s="18" t="n">
        <v>0</v>
      </c>
      <c r="H919" s="18"/>
      <c r="I919" s="19" t="s">
        <v>2628</v>
      </c>
      <c r="J919" s="18"/>
    </row>
    <row r="920" customFormat="false" ht="15" hidden="false" customHeight="false" outlineLevel="0" collapsed="false">
      <c r="A920" s="18" t="s">
        <v>1797</v>
      </c>
      <c r="B920" s="18" t="s">
        <v>57</v>
      </c>
      <c r="C920" s="18" t="s">
        <v>1778</v>
      </c>
      <c r="D920" s="18" t="s">
        <v>93</v>
      </c>
      <c r="E920" s="19" t="s">
        <v>1798</v>
      </c>
      <c r="F920" s="18" t="s">
        <v>2627</v>
      </c>
      <c r="G920" s="18" t="n">
        <v>0.2</v>
      </c>
      <c r="H920" s="18"/>
      <c r="I920" s="19" t="s">
        <v>2628</v>
      </c>
      <c r="J920" s="18"/>
    </row>
    <row r="921" customFormat="false" ht="15" hidden="false" customHeight="false" outlineLevel="0" collapsed="false">
      <c r="A921" s="18" t="s">
        <v>1799</v>
      </c>
      <c r="B921" s="18" t="s">
        <v>57</v>
      </c>
      <c r="C921" s="18" t="s">
        <v>1778</v>
      </c>
      <c r="D921" s="18" t="s">
        <v>93</v>
      </c>
      <c r="E921" s="19" t="s">
        <v>1800</v>
      </c>
      <c r="F921" s="18" t="s">
        <v>2627</v>
      </c>
      <c r="G921" s="18" t="n">
        <v>0</v>
      </c>
      <c r="H921" s="18"/>
      <c r="I921" s="19" t="s">
        <v>2628</v>
      </c>
      <c r="J921" s="18"/>
    </row>
    <row r="922" customFormat="false" ht="15" hidden="false" customHeight="false" outlineLevel="0" collapsed="false">
      <c r="A922" s="18" t="s">
        <v>1801</v>
      </c>
      <c r="B922" s="18" t="s">
        <v>57</v>
      </c>
      <c r="C922" s="18" t="s">
        <v>1778</v>
      </c>
      <c r="D922" s="18" t="s">
        <v>93</v>
      </c>
      <c r="E922" s="19" t="s">
        <v>1802</v>
      </c>
      <c r="F922" s="18" t="s">
        <v>2627</v>
      </c>
      <c r="G922" s="18" t="n">
        <v>0.2</v>
      </c>
      <c r="H922" s="18"/>
      <c r="I922" s="19" t="s">
        <v>2628</v>
      </c>
      <c r="J922" s="18"/>
    </row>
    <row r="923" customFormat="false" ht="15" hidden="false" customHeight="false" outlineLevel="0" collapsed="false">
      <c r="A923" s="18" t="s">
        <v>1803</v>
      </c>
      <c r="B923" s="18" t="s">
        <v>57</v>
      </c>
      <c r="C923" s="18" t="s">
        <v>1778</v>
      </c>
      <c r="D923" s="18" t="s">
        <v>93</v>
      </c>
      <c r="E923" s="19" t="s">
        <v>1804</v>
      </c>
      <c r="F923" s="18" t="s">
        <v>2627</v>
      </c>
      <c r="G923" s="18" t="n">
        <v>0.62</v>
      </c>
      <c r="H923" s="18" t="s">
        <v>2625</v>
      </c>
      <c r="I923" s="19" t="s">
        <v>2628</v>
      </c>
      <c r="J923" s="18"/>
    </row>
    <row r="924" customFormat="false" ht="15" hidden="false" customHeight="false" outlineLevel="0" collapsed="false">
      <c r="A924" s="18" t="s">
        <v>1805</v>
      </c>
      <c r="B924" s="18" t="s">
        <v>57</v>
      </c>
      <c r="C924" s="18" t="s">
        <v>1778</v>
      </c>
      <c r="D924" s="18" t="s">
        <v>93</v>
      </c>
      <c r="E924" s="19" t="s">
        <v>1806</v>
      </c>
      <c r="F924" s="18" t="s">
        <v>2627</v>
      </c>
      <c r="G924" s="18" t="n">
        <v>0.25</v>
      </c>
      <c r="H924" s="18"/>
      <c r="I924" s="19" t="s">
        <v>2628</v>
      </c>
      <c r="J924" s="18"/>
    </row>
    <row r="925" customFormat="false" ht="15" hidden="false" customHeight="false" outlineLevel="0" collapsed="false">
      <c r="A925" s="18" t="s">
        <v>1807</v>
      </c>
      <c r="B925" s="18" t="s">
        <v>57</v>
      </c>
      <c r="C925" s="18" t="s">
        <v>1778</v>
      </c>
      <c r="D925" s="18" t="s">
        <v>93</v>
      </c>
      <c r="E925" s="19" t="s">
        <v>1808</v>
      </c>
      <c r="F925" s="18" t="s">
        <v>2627</v>
      </c>
      <c r="G925" s="18" t="n">
        <v>0.4</v>
      </c>
      <c r="H925" s="18" t="s">
        <v>2668</v>
      </c>
      <c r="I925" s="19" t="s">
        <v>2628</v>
      </c>
      <c r="J925" s="18"/>
    </row>
    <row r="926" customFormat="false" ht="15" hidden="false" customHeight="false" outlineLevel="0" collapsed="false">
      <c r="A926" s="18" t="s">
        <v>1809</v>
      </c>
      <c r="B926" s="18" t="s">
        <v>57</v>
      </c>
      <c r="C926" s="18" t="s">
        <v>1778</v>
      </c>
      <c r="D926" s="18" t="s">
        <v>93</v>
      </c>
      <c r="E926" s="19" t="s">
        <v>130</v>
      </c>
      <c r="F926" s="18" t="s">
        <v>2627</v>
      </c>
      <c r="G926" s="18" t="n">
        <v>0</v>
      </c>
      <c r="H926" s="18"/>
      <c r="I926" s="19" t="s">
        <v>2628</v>
      </c>
      <c r="J926" s="18"/>
    </row>
    <row r="927" customFormat="false" ht="22.35" hidden="false" customHeight="false" outlineLevel="0" collapsed="false">
      <c r="A927" s="18" t="s">
        <v>1810</v>
      </c>
      <c r="B927" s="18" t="s">
        <v>57</v>
      </c>
      <c r="C927" s="18" t="s">
        <v>1778</v>
      </c>
      <c r="D927" s="18" t="s">
        <v>93</v>
      </c>
      <c r="E927" s="19" t="s">
        <v>1811</v>
      </c>
      <c r="F927" s="18" t="s">
        <v>2627</v>
      </c>
      <c r="G927" s="18" t="n">
        <v>0.19</v>
      </c>
      <c r="H927" s="18"/>
      <c r="I927" s="19" t="s">
        <v>2628</v>
      </c>
      <c r="J927" s="18"/>
    </row>
    <row r="928" customFormat="false" ht="15" hidden="false" customHeight="false" outlineLevel="0" collapsed="false">
      <c r="A928" s="18" t="s">
        <v>1812</v>
      </c>
      <c r="B928" s="18" t="s">
        <v>57</v>
      </c>
      <c r="C928" s="18" t="s">
        <v>1778</v>
      </c>
      <c r="D928" s="18" t="s">
        <v>93</v>
      </c>
      <c r="E928" s="19" t="s">
        <v>1290</v>
      </c>
      <c r="F928" s="18" t="s">
        <v>2627</v>
      </c>
      <c r="G928" s="18" t="n">
        <v>0.67</v>
      </c>
      <c r="H928" s="18" t="s">
        <v>2625</v>
      </c>
      <c r="I928" s="19" t="s">
        <v>2628</v>
      </c>
      <c r="J928" s="18"/>
    </row>
    <row r="929" customFormat="false" ht="22.35" hidden="false" customHeight="false" outlineLevel="0" collapsed="false">
      <c r="A929" s="18" t="s">
        <v>1813</v>
      </c>
      <c r="B929" s="18" t="s">
        <v>57</v>
      </c>
      <c r="C929" s="18" t="s">
        <v>1778</v>
      </c>
      <c r="D929" s="18" t="s">
        <v>93</v>
      </c>
      <c r="E929" s="19" t="s">
        <v>1814</v>
      </c>
      <c r="F929" s="18" t="s">
        <v>2627</v>
      </c>
      <c r="G929" s="18" t="n">
        <v>0.11</v>
      </c>
      <c r="H929" s="18"/>
      <c r="I929" s="19" t="s">
        <v>2628</v>
      </c>
      <c r="J929" s="18"/>
    </row>
    <row r="930" customFormat="false" ht="15" hidden="false" customHeight="false" outlineLevel="0" collapsed="false">
      <c r="A930" s="18" t="s">
        <v>1815</v>
      </c>
      <c r="B930" s="18" t="s">
        <v>57</v>
      </c>
      <c r="C930" s="18" t="s">
        <v>1778</v>
      </c>
      <c r="D930" s="18" t="s">
        <v>93</v>
      </c>
      <c r="E930" s="19" t="s">
        <v>1816</v>
      </c>
      <c r="F930" s="18" t="s">
        <v>2627</v>
      </c>
      <c r="G930" s="18" t="n">
        <v>0</v>
      </c>
      <c r="H930" s="18"/>
      <c r="I930" s="19" t="s">
        <v>2628</v>
      </c>
      <c r="J930" s="18"/>
    </row>
    <row r="931" customFormat="false" ht="22.35" hidden="false" customHeight="false" outlineLevel="0" collapsed="false">
      <c r="A931" s="18" t="s">
        <v>1817</v>
      </c>
      <c r="B931" s="18" t="s">
        <v>57</v>
      </c>
      <c r="C931" s="18" t="s">
        <v>1778</v>
      </c>
      <c r="D931" s="18" t="s">
        <v>93</v>
      </c>
      <c r="E931" s="19" t="s">
        <v>1818</v>
      </c>
      <c r="F931" s="18" t="s">
        <v>2627</v>
      </c>
      <c r="G931" s="18" t="n">
        <v>0</v>
      </c>
      <c r="H931" s="18"/>
      <c r="I931" s="19" t="s">
        <v>2628</v>
      </c>
      <c r="J931" s="18"/>
    </row>
    <row r="932" customFormat="false" ht="22.35" hidden="false" customHeight="false" outlineLevel="0" collapsed="false">
      <c r="A932" s="18" t="s">
        <v>1819</v>
      </c>
      <c r="B932" s="18" t="s">
        <v>57</v>
      </c>
      <c r="C932" s="18" t="s">
        <v>1778</v>
      </c>
      <c r="D932" s="18" t="s">
        <v>93</v>
      </c>
      <c r="E932" s="19" t="s">
        <v>1820</v>
      </c>
      <c r="F932" s="18" t="s">
        <v>2627</v>
      </c>
      <c r="G932" s="18" t="n">
        <v>0.17</v>
      </c>
      <c r="H932" s="18"/>
      <c r="I932" s="19" t="s">
        <v>2628</v>
      </c>
      <c r="J932" s="18"/>
    </row>
    <row r="933" customFormat="false" ht="15" hidden="false" customHeight="false" outlineLevel="0" collapsed="false">
      <c r="A933" s="18" t="s">
        <v>1821</v>
      </c>
      <c r="B933" s="18" t="s">
        <v>57</v>
      </c>
      <c r="C933" s="18" t="s">
        <v>1778</v>
      </c>
      <c r="D933" s="18" t="s">
        <v>93</v>
      </c>
      <c r="E933" s="19" t="s">
        <v>1822</v>
      </c>
      <c r="F933" s="18" t="s">
        <v>2627</v>
      </c>
      <c r="G933" s="18" t="n">
        <v>0.45</v>
      </c>
      <c r="H933" s="18" t="s">
        <v>2625</v>
      </c>
      <c r="I933" s="19" t="s">
        <v>2628</v>
      </c>
      <c r="J933" s="18"/>
    </row>
    <row r="934" customFormat="false" ht="15" hidden="false" customHeight="false" outlineLevel="0" collapsed="false">
      <c r="A934" s="18" t="s">
        <v>1823</v>
      </c>
      <c r="B934" s="18" t="s">
        <v>57</v>
      </c>
      <c r="C934" s="18" t="s">
        <v>1778</v>
      </c>
      <c r="D934" s="18" t="s">
        <v>93</v>
      </c>
      <c r="E934" s="19" t="s">
        <v>1824</v>
      </c>
      <c r="F934" s="18" t="s">
        <v>2627</v>
      </c>
      <c r="G934" s="18" t="n">
        <v>0</v>
      </c>
      <c r="H934" s="18"/>
      <c r="I934" s="19" t="s">
        <v>2628</v>
      </c>
      <c r="J934" s="18"/>
    </row>
    <row r="935" customFormat="false" ht="22.35" hidden="false" customHeight="false" outlineLevel="0" collapsed="false">
      <c r="A935" s="18" t="s">
        <v>1825</v>
      </c>
      <c r="B935" s="18" t="s">
        <v>57</v>
      </c>
      <c r="C935" s="18" t="s">
        <v>1778</v>
      </c>
      <c r="D935" s="18" t="s">
        <v>93</v>
      </c>
      <c r="E935" s="19" t="s">
        <v>1826</v>
      </c>
      <c r="F935" s="18" t="s">
        <v>2627</v>
      </c>
      <c r="G935" s="18" t="n">
        <v>0.04</v>
      </c>
      <c r="H935" s="18"/>
      <c r="I935" s="19" t="s">
        <v>2628</v>
      </c>
      <c r="J935" s="18"/>
    </row>
    <row r="936" customFormat="false" ht="15" hidden="false" customHeight="false" outlineLevel="0" collapsed="false">
      <c r="A936" s="18" t="s">
        <v>1827</v>
      </c>
      <c r="B936" s="18" t="s">
        <v>57</v>
      </c>
      <c r="C936" s="18" t="s">
        <v>1778</v>
      </c>
      <c r="D936" s="18" t="s">
        <v>93</v>
      </c>
      <c r="E936" s="19" t="s">
        <v>1828</v>
      </c>
      <c r="F936" s="18" t="s">
        <v>2627</v>
      </c>
      <c r="G936" s="18" t="n">
        <v>0</v>
      </c>
      <c r="H936" s="18"/>
      <c r="I936" s="19" t="s">
        <v>2628</v>
      </c>
      <c r="J936" s="18"/>
    </row>
    <row r="937" customFormat="false" ht="32.8" hidden="false" customHeight="false" outlineLevel="0" collapsed="false">
      <c r="A937" s="18" t="s">
        <v>1829</v>
      </c>
      <c r="B937" s="18" t="s">
        <v>57</v>
      </c>
      <c r="C937" s="18" t="s">
        <v>1778</v>
      </c>
      <c r="D937" s="18" t="s">
        <v>93</v>
      </c>
      <c r="E937" s="19" t="s">
        <v>1830</v>
      </c>
      <c r="F937" s="18" t="s">
        <v>2627</v>
      </c>
      <c r="G937" s="18" t="n">
        <v>0.07</v>
      </c>
      <c r="H937" s="18"/>
      <c r="I937" s="19" t="s">
        <v>2628</v>
      </c>
      <c r="J937" s="18"/>
    </row>
    <row r="938" customFormat="false" ht="15" hidden="false" customHeight="false" outlineLevel="0" collapsed="false">
      <c r="A938" s="18" t="s">
        <v>1831</v>
      </c>
      <c r="B938" s="18" t="s">
        <v>57</v>
      </c>
      <c r="C938" s="18" t="s">
        <v>1778</v>
      </c>
      <c r="D938" s="18" t="s">
        <v>93</v>
      </c>
      <c r="E938" s="19" t="s">
        <v>1832</v>
      </c>
      <c r="F938" s="18" t="s">
        <v>2627</v>
      </c>
      <c r="G938" s="18" t="n">
        <v>0.09</v>
      </c>
      <c r="H938" s="18"/>
      <c r="I938" s="19" t="s">
        <v>2628</v>
      </c>
      <c r="J938" s="18"/>
    </row>
    <row r="939" customFormat="false" ht="15" hidden="false" customHeight="false" outlineLevel="0" collapsed="false">
      <c r="A939" s="18" t="s">
        <v>1833</v>
      </c>
      <c r="B939" s="18" t="s">
        <v>57</v>
      </c>
      <c r="C939" s="18" t="s">
        <v>1778</v>
      </c>
      <c r="D939" s="18" t="s">
        <v>158</v>
      </c>
      <c r="E939" s="19" t="s">
        <v>1834</v>
      </c>
      <c r="F939" s="18" t="s">
        <v>2624</v>
      </c>
      <c r="G939" s="18" t="n">
        <v>1</v>
      </c>
      <c r="H939" s="18" t="s">
        <v>2625</v>
      </c>
      <c r="I939" s="19"/>
      <c r="J939" s="18"/>
    </row>
    <row r="940" customFormat="false" ht="22.35" hidden="false" customHeight="false" outlineLevel="0" collapsed="false">
      <c r="A940" s="18" t="s">
        <v>1835</v>
      </c>
      <c r="B940" s="18" t="s">
        <v>57</v>
      </c>
      <c r="C940" s="18" t="s">
        <v>1778</v>
      </c>
      <c r="D940" s="18" t="s">
        <v>164</v>
      </c>
      <c r="E940" s="19" t="s">
        <v>1836</v>
      </c>
      <c r="F940" s="18" t="s">
        <v>2624</v>
      </c>
      <c r="G940" s="18" t="n">
        <v>1</v>
      </c>
      <c r="H940" s="18" t="s">
        <v>2668</v>
      </c>
      <c r="I940" s="19"/>
      <c r="J940" s="18"/>
    </row>
    <row r="941" customFormat="false" ht="15" hidden="false" customHeight="false" outlineLevel="0" collapsed="false">
      <c r="A941" s="18" t="s">
        <v>1837</v>
      </c>
      <c r="B941" s="18" t="s">
        <v>57</v>
      </c>
      <c r="C941" s="18" t="s">
        <v>1778</v>
      </c>
      <c r="D941" s="18" t="s">
        <v>164</v>
      </c>
      <c r="E941" s="19" t="s">
        <v>1838</v>
      </c>
      <c r="F941" s="18" t="s">
        <v>2624</v>
      </c>
      <c r="G941" s="18" t="n">
        <v>1</v>
      </c>
      <c r="H941" s="18" t="s">
        <v>2625</v>
      </c>
      <c r="I941" s="19"/>
      <c r="J941" s="18"/>
    </row>
    <row r="942" customFormat="false" ht="15" hidden="false" customHeight="false" outlineLevel="0" collapsed="false">
      <c r="A942" s="18" t="s">
        <v>1839</v>
      </c>
      <c r="B942" s="18" t="s">
        <v>57</v>
      </c>
      <c r="C942" s="18" t="s">
        <v>1778</v>
      </c>
      <c r="D942" s="18" t="s">
        <v>84</v>
      </c>
      <c r="E942" s="19" t="s">
        <v>1840</v>
      </c>
      <c r="F942" s="18" t="s">
        <v>2624</v>
      </c>
      <c r="G942" s="18" t="n">
        <v>1</v>
      </c>
      <c r="H942" s="18" t="s">
        <v>2625</v>
      </c>
      <c r="I942" s="19"/>
      <c r="J942" s="18"/>
    </row>
    <row r="943" customFormat="false" ht="15" hidden="false" customHeight="false" outlineLevel="0" collapsed="false">
      <c r="A943" s="18" t="s">
        <v>1841</v>
      </c>
      <c r="B943" s="18" t="s">
        <v>57</v>
      </c>
      <c r="C943" s="18" t="s">
        <v>1778</v>
      </c>
      <c r="D943" s="18" t="s">
        <v>164</v>
      </c>
      <c r="E943" s="19" t="s">
        <v>1842</v>
      </c>
      <c r="F943" s="18" t="s">
        <v>2624</v>
      </c>
      <c r="G943" s="18" t="n">
        <v>1</v>
      </c>
      <c r="H943" s="18" t="s">
        <v>2668</v>
      </c>
      <c r="I943" s="19"/>
      <c r="J943" s="18"/>
    </row>
    <row r="944" customFormat="false" ht="15" hidden="false" customHeight="false" outlineLevel="0" collapsed="false">
      <c r="A944" s="18" t="s">
        <v>1843</v>
      </c>
      <c r="B944" s="18" t="s">
        <v>57</v>
      </c>
      <c r="C944" s="18" t="s">
        <v>1778</v>
      </c>
      <c r="D944" s="18" t="s">
        <v>164</v>
      </c>
      <c r="E944" s="19" t="s">
        <v>1844</v>
      </c>
      <c r="F944" s="18" t="s">
        <v>2624</v>
      </c>
      <c r="G944" s="18" t="n">
        <v>1</v>
      </c>
      <c r="H944" s="18" t="s">
        <v>2625</v>
      </c>
      <c r="I944" s="19"/>
      <c r="J944" s="18"/>
    </row>
    <row r="945" customFormat="false" ht="15" hidden="false" customHeight="false" outlineLevel="0" collapsed="false">
      <c r="A945" s="18" t="s">
        <v>1845</v>
      </c>
      <c r="B945" s="18" t="s">
        <v>57</v>
      </c>
      <c r="C945" s="18" t="s">
        <v>1778</v>
      </c>
      <c r="D945" s="18" t="s">
        <v>164</v>
      </c>
      <c r="E945" s="19" t="s">
        <v>1846</v>
      </c>
      <c r="F945" s="18" t="s">
        <v>2624</v>
      </c>
      <c r="G945" s="18" t="n">
        <v>1</v>
      </c>
      <c r="H945" s="18" t="s">
        <v>2625</v>
      </c>
      <c r="I945" s="19"/>
      <c r="J945" s="18"/>
    </row>
    <row r="946" customFormat="false" ht="32.8" hidden="false" customHeight="false" outlineLevel="0" collapsed="false">
      <c r="A946" s="18" t="s">
        <v>1847</v>
      </c>
      <c r="B946" s="18" t="s">
        <v>57</v>
      </c>
      <c r="C946" s="18" t="s">
        <v>1778</v>
      </c>
      <c r="D946" s="18" t="s">
        <v>164</v>
      </c>
      <c r="E946" s="19" t="s">
        <v>1848</v>
      </c>
      <c r="F946" s="18" t="s">
        <v>2624</v>
      </c>
      <c r="G946" s="18" t="n">
        <v>1</v>
      </c>
      <c r="H946" s="18" t="s">
        <v>2625</v>
      </c>
      <c r="I946" s="19"/>
      <c r="J946" s="18"/>
    </row>
    <row r="947" customFormat="false" ht="22.35" hidden="false" customHeight="false" outlineLevel="0" collapsed="false">
      <c r="A947" s="18" t="s">
        <v>1849</v>
      </c>
      <c r="B947" s="18" t="s">
        <v>57</v>
      </c>
      <c r="C947" s="18" t="s">
        <v>1778</v>
      </c>
      <c r="D947" s="18" t="s">
        <v>164</v>
      </c>
      <c r="E947" s="19" t="s">
        <v>236</v>
      </c>
      <c r="F947" s="18" t="s">
        <v>2627</v>
      </c>
      <c r="G947" s="18" t="n">
        <v>0</v>
      </c>
      <c r="H947" s="18"/>
      <c r="I947" s="19" t="s">
        <v>2635</v>
      </c>
      <c r="J947" s="18"/>
    </row>
    <row r="948" customFormat="false" ht="15" hidden="false" customHeight="false" outlineLevel="0" collapsed="false">
      <c r="A948" s="18" t="s">
        <v>1850</v>
      </c>
      <c r="B948" s="18" t="s">
        <v>57</v>
      </c>
      <c r="C948" s="18" t="s">
        <v>1778</v>
      </c>
      <c r="D948" s="18" t="s">
        <v>158</v>
      </c>
      <c r="E948" s="19" t="s">
        <v>1851</v>
      </c>
      <c r="F948" s="18" t="s">
        <v>2636</v>
      </c>
      <c r="G948" s="18" t="n">
        <v>0</v>
      </c>
      <c r="H948" s="18"/>
      <c r="I948" s="19" t="s">
        <v>2637</v>
      </c>
      <c r="J948" s="18"/>
    </row>
    <row r="949" customFormat="false" ht="15" hidden="false" customHeight="false" outlineLevel="0" collapsed="false">
      <c r="A949" s="18" t="s">
        <v>1852</v>
      </c>
      <c r="B949" s="18" t="s">
        <v>57</v>
      </c>
      <c r="C949" s="18" t="s">
        <v>1778</v>
      </c>
      <c r="D949" s="18" t="s">
        <v>158</v>
      </c>
      <c r="E949" s="19" t="s">
        <v>1853</v>
      </c>
      <c r="F949" s="18" t="s">
        <v>2624</v>
      </c>
      <c r="G949" s="18" t="n">
        <v>1</v>
      </c>
      <c r="H949" s="18" t="s">
        <v>2625</v>
      </c>
      <c r="I949" s="19"/>
      <c r="J949" s="18"/>
    </row>
    <row r="950" customFormat="false" ht="22.35" hidden="false" customHeight="false" outlineLevel="0" collapsed="false">
      <c r="A950" s="18" t="s">
        <v>1854</v>
      </c>
      <c r="B950" s="18" t="s">
        <v>57</v>
      </c>
      <c r="C950" s="18" t="s">
        <v>1778</v>
      </c>
      <c r="D950" s="18" t="s">
        <v>164</v>
      </c>
      <c r="E950" s="19" t="s">
        <v>1855</v>
      </c>
      <c r="F950" s="18" t="s">
        <v>2624</v>
      </c>
      <c r="G950" s="18" t="n">
        <v>1</v>
      </c>
      <c r="H950" s="18" t="s">
        <v>2625</v>
      </c>
      <c r="I950" s="19"/>
      <c r="J950" s="18"/>
    </row>
    <row r="951" customFormat="false" ht="22.35" hidden="false" customHeight="false" outlineLevel="0" collapsed="false">
      <c r="A951" s="18" t="s">
        <v>1856</v>
      </c>
      <c r="B951" s="18" t="s">
        <v>57</v>
      </c>
      <c r="C951" s="18" t="s">
        <v>1778</v>
      </c>
      <c r="D951" s="18" t="s">
        <v>168</v>
      </c>
      <c r="E951" s="19" t="s">
        <v>167</v>
      </c>
      <c r="F951" s="18" t="s">
        <v>2631</v>
      </c>
      <c r="G951" s="18" t="n">
        <v>0</v>
      </c>
      <c r="H951" s="18"/>
      <c r="I951" s="19" t="s">
        <v>2632</v>
      </c>
      <c r="J951" s="18"/>
    </row>
    <row r="952" customFormat="false" ht="95.5" hidden="false" customHeight="false" outlineLevel="0" collapsed="false">
      <c r="A952" s="18" t="s">
        <v>1857</v>
      </c>
      <c r="B952" s="18" t="s">
        <v>57</v>
      </c>
      <c r="C952" s="18" t="s">
        <v>1778</v>
      </c>
      <c r="D952" s="18" t="s">
        <v>168</v>
      </c>
      <c r="E952" s="19" t="s">
        <v>1858</v>
      </c>
      <c r="F952" s="18" t="s">
        <v>2624</v>
      </c>
      <c r="G952" s="18" t="n">
        <v>1</v>
      </c>
      <c r="H952" s="18" t="s">
        <v>2625</v>
      </c>
      <c r="I952" s="19"/>
      <c r="J952" s="18"/>
    </row>
    <row r="953" customFormat="false" ht="22.35" hidden="false" customHeight="false" outlineLevel="0" collapsed="false">
      <c r="A953" s="18" t="s">
        <v>1859</v>
      </c>
      <c r="B953" s="18" t="s">
        <v>57</v>
      </c>
      <c r="C953" s="18" t="s">
        <v>1778</v>
      </c>
      <c r="D953" s="18" t="s">
        <v>175</v>
      </c>
      <c r="E953" s="19" t="s">
        <v>1860</v>
      </c>
      <c r="F953" s="18" t="s">
        <v>2624</v>
      </c>
      <c r="G953" s="18" t="n">
        <v>1</v>
      </c>
      <c r="H953" s="18" t="s">
        <v>2668</v>
      </c>
      <c r="I953" s="19"/>
      <c r="J953" s="18"/>
    </row>
    <row r="954" customFormat="false" ht="15" hidden="false" customHeight="false" outlineLevel="0" collapsed="false">
      <c r="A954" s="18" t="s">
        <v>1861</v>
      </c>
      <c r="B954" s="18" t="s">
        <v>57</v>
      </c>
      <c r="C954" s="18" t="s">
        <v>1778</v>
      </c>
      <c r="D954" s="18" t="s">
        <v>164</v>
      </c>
      <c r="E954" s="19" t="s">
        <v>1862</v>
      </c>
      <c r="F954" s="18" t="s">
        <v>2624</v>
      </c>
      <c r="G954" s="18" t="n">
        <v>1</v>
      </c>
      <c r="H954" s="18" t="s">
        <v>2633</v>
      </c>
      <c r="I954" s="19"/>
      <c r="J954" s="18"/>
    </row>
    <row r="955" customFormat="false" ht="15" hidden="false" customHeight="false" outlineLevel="0" collapsed="false">
      <c r="A955" s="18" t="s">
        <v>1863</v>
      </c>
      <c r="B955" s="18" t="s">
        <v>57</v>
      </c>
      <c r="C955" s="18" t="s">
        <v>1778</v>
      </c>
      <c r="D955" s="18" t="s">
        <v>158</v>
      </c>
      <c r="E955" s="19" t="s">
        <v>1864</v>
      </c>
      <c r="F955" s="18" t="s">
        <v>2624</v>
      </c>
      <c r="G955" s="18" t="n">
        <v>1</v>
      </c>
      <c r="H955" s="18" t="s">
        <v>2625</v>
      </c>
      <c r="I955" s="19"/>
      <c r="J955" s="18"/>
    </row>
    <row r="956" customFormat="false" ht="22.35" hidden="false" customHeight="false" outlineLevel="0" collapsed="false">
      <c r="A956" s="18" t="s">
        <v>1865</v>
      </c>
      <c r="B956" s="18" t="s">
        <v>57</v>
      </c>
      <c r="C956" s="18" t="s">
        <v>1778</v>
      </c>
      <c r="D956" s="18" t="s">
        <v>164</v>
      </c>
      <c r="E956" s="19" t="s">
        <v>1866</v>
      </c>
      <c r="F956" s="18" t="s">
        <v>2624</v>
      </c>
      <c r="G956" s="18" t="n">
        <v>1</v>
      </c>
      <c r="H956" s="18" t="s">
        <v>2668</v>
      </c>
      <c r="I956" s="19"/>
      <c r="J956" s="18"/>
    </row>
    <row r="957" customFormat="false" ht="43.25" hidden="false" customHeight="false" outlineLevel="0" collapsed="false">
      <c r="A957" s="18" t="s">
        <v>1867</v>
      </c>
      <c r="B957" s="18" t="s">
        <v>57</v>
      </c>
      <c r="C957" s="18" t="s">
        <v>1778</v>
      </c>
      <c r="D957" s="18" t="s">
        <v>164</v>
      </c>
      <c r="E957" s="19" t="s">
        <v>1868</v>
      </c>
      <c r="F957" s="18" t="s">
        <v>2624</v>
      </c>
      <c r="G957" s="18" t="n">
        <v>1</v>
      </c>
      <c r="H957" s="18" t="s">
        <v>2668</v>
      </c>
      <c r="I957" s="19"/>
      <c r="J957" s="18"/>
    </row>
    <row r="958" customFormat="false" ht="32.8" hidden="false" customHeight="false" outlineLevel="0" collapsed="false">
      <c r="A958" s="18" t="s">
        <v>1869</v>
      </c>
      <c r="B958" s="18" t="s">
        <v>57</v>
      </c>
      <c r="C958" s="18" t="s">
        <v>1778</v>
      </c>
      <c r="D958" s="18" t="s">
        <v>164</v>
      </c>
      <c r="E958" s="19" t="s">
        <v>1870</v>
      </c>
      <c r="F958" s="18" t="s">
        <v>2624</v>
      </c>
      <c r="G958" s="18" t="n">
        <v>1</v>
      </c>
      <c r="H958" s="18" t="s">
        <v>2668</v>
      </c>
      <c r="I958" s="19"/>
      <c r="J958" s="18"/>
    </row>
    <row r="959" customFormat="false" ht="22.35" hidden="false" customHeight="false" outlineLevel="0" collapsed="false">
      <c r="A959" s="18" t="s">
        <v>1871</v>
      </c>
      <c r="B959" s="18" t="s">
        <v>57</v>
      </c>
      <c r="C959" s="18" t="s">
        <v>1778</v>
      </c>
      <c r="D959" s="18" t="s">
        <v>164</v>
      </c>
      <c r="E959" s="19" t="s">
        <v>1872</v>
      </c>
      <c r="F959" s="18" t="s">
        <v>2624</v>
      </c>
      <c r="G959" s="18" t="n">
        <v>1</v>
      </c>
      <c r="H959" s="18" t="s">
        <v>2668</v>
      </c>
      <c r="I959" s="19"/>
      <c r="J959" s="18"/>
    </row>
    <row r="960" customFormat="false" ht="22.35" hidden="false" customHeight="false" outlineLevel="0" collapsed="false">
      <c r="A960" s="18" t="s">
        <v>1873</v>
      </c>
      <c r="B960" s="18" t="s">
        <v>57</v>
      </c>
      <c r="C960" s="18" t="s">
        <v>1778</v>
      </c>
      <c r="D960" s="18" t="s">
        <v>164</v>
      </c>
      <c r="E960" s="19" t="s">
        <v>1874</v>
      </c>
      <c r="F960" s="18" t="s">
        <v>2624</v>
      </c>
      <c r="G960" s="18" t="n">
        <v>1</v>
      </c>
      <c r="H960" s="18" t="s">
        <v>2668</v>
      </c>
      <c r="I960" s="19"/>
      <c r="J960" s="18"/>
    </row>
    <row r="961" customFormat="false" ht="15" hidden="false" customHeight="false" outlineLevel="0" collapsed="false">
      <c r="A961" s="18" t="s">
        <v>1875</v>
      </c>
      <c r="B961" s="18" t="s">
        <v>57</v>
      </c>
      <c r="C961" s="18" t="s">
        <v>1778</v>
      </c>
      <c r="D961" s="18" t="s">
        <v>158</v>
      </c>
      <c r="E961" s="19" t="s">
        <v>1876</v>
      </c>
      <c r="F961" s="18" t="s">
        <v>2624</v>
      </c>
      <c r="G961" s="18" t="n">
        <v>1</v>
      </c>
      <c r="H961" s="18" t="s">
        <v>2625</v>
      </c>
      <c r="I961" s="19"/>
      <c r="J961" s="18"/>
    </row>
    <row r="962" customFormat="false" ht="22.35" hidden="false" customHeight="false" outlineLevel="0" collapsed="false">
      <c r="A962" s="18" t="s">
        <v>1877</v>
      </c>
      <c r="B962" s="18" t="s">
        <v>57</v>
      </c>
      <c r="C962" s="18" t="s">
        <v>1778</v>
      </c>
      <c r="D962" s="18" t="s">
        <v>354</v>
      </c>
      <c r="E962" s="19" t="s">
        <v>1878</v>
      </c>
      <c r="F962" s="18" t="s">
        <v>2624</v>
      </c>
      <c r="G962" s="18" t="n">
        <v>1</v>
      </c>
      <c r="H962" s="18" t="s">
        <v>2668</v>
      </c>
      <c r="I962" s="19"/>
      <c r="J962" s="18"/>
    </row>
    <row r="963" customFormat="false" ht="22.35" hidden="false" customHeight="false" outlineLevel="0" collapsed="false">
      <c r="A963" s="18" t="s">
        <v>1879</v>
      </c>
      <c r="B963" s="18" t="s">
        <v>57</v>
      </c>
      <c r="C963" s="18" t="s">
        <v>1778</v>
      </c>
      <c r="D963" s="18" t="s">
        <v>164</v>
      </c>
      <c r="E963" s="19" t="s">
        <v>1880</v>
      </c>
      <c r="F963" s="18" t="s">
        <v>2624</v>
      </c>
      <c r="G963" s="18" t="n">
        <v>1</v>
      </c>
      <c r="H963" s="18" t="s">
        <v>2625</v>
      </c>
      <c r="I963" s="19"/>
      <c r="J963" s="18"/>
    </row>
    <row r="964" customFormat="false" ht="22.35" hidden="false" customHeight="false" outlineLevel="0" collapsed="false">
      <c r="A964" s="18" t="s">
        <v>1881</v>
      </c>
      <c r="B964" s="18" t="s">
        <v>57</v>
      </c>
      <c r="C964" s="18" t="s">
        <v>1778</v>
      </c>
      <c r="D964" s="18" t="s">
        <v>164</v>
      </c>
      <c r="E964" s="19" t="s">
        <v>1882</v>
      </c>
      <c r="F964" s="18" t="s">
        <v>2624</v>
      </c>
      <c r="G964" s="18" t="n">
        <v>1</v>
      </c>
      <c r="H964" s="18" t="s">
        <v>2625</v>
      </c>
      <c r="I964" s="19"/>
      <c r="J964" s="18"/>
    </row>
    <row r="965" customFormat="false" ht="32.8" hidden="false" customHeight="false" outlineLevel="0" collapsed="false">
      <c r="A965" s="18" t="s">
        <v>1883</v>
      </c>
      <c r="B965" s="18" t="s">
        <v>57</v>
      </c>
      <c r="C965" s="18" t="s">
        <v>1778</v>
      </c>
      <c r="D965" s="18" t="s">
        <v>164</v>
      </c>
      <c r="E965" s="19" t="s">
        <v>1884</v>
      </c>
      <c r="F965" s="18" t="s">
        <v>2624</v>
      </c>
      <c r="G965" s="18" t="n">
        <v>1</v>
      </c>
      <c r="H965" s="18" t="s">
        <v>2625</v>
      </c>
      <c r="I965" s="19"/>
      <c r="J965" s="18"/>
    </row>
    <row r="966" customFormat="false" ht="15" hidden="false" customHeight="false" outlineLevel="0" collapsed="false">
      <c r="A966" s="18" t="s">
        <v>1885</v>
      </c>
      <c r="B966" s="18" t="s">
        <v>57</v>
      </c>
      <c r="C966" s="18" t="s">
        <v>1778</v>
      </c>
      <c r="D966" s="18" t="s">
        <v>164</v>
      </c>
      <c r="E966" s="19" t="s">
        <v>1886</v>
      </c>
      <c r="F966" s="18" t="s">
        <v>2627</v>
      </c>
      <c r="G966" s="18" t="n">
        <v>0.14</v>
      </c>
      <c r="H966" s="18"/>
      <c r="I966" s="19" t="s">
        <v>2634</v>
      </c>
      <c r="J966" s="18"/>
    </row>
    <row r="967" customFormat="false" ht="15" hidden="false" customHeight="false" outlineLevel="0" collapsed="false">
      <c r="A967" s="18" t="s">
        <v>1887</v>
      </c>
      <c r="B967" s="18" t="s">
        <v>57</v>
      </c>
      <c r="C967" s="18" t="s">
        <v>1778</v>
      </c>
      <c r="D967" s="18" t="s">
        <v>175</v>
      </c>
      <c r="E967" s="19" t="s">
        <v>459</v>
      </c>
      <c r="F967" s="18" t="s">
        <v>2630</v>
      </c>
      <c r="G967" s="18" t="n">
        <v>0.67</v>
      </c>
      <c r="H967" s="18" t="s">
        <v>2647</v>
      </c>
      <c r="I967" s="19"/>
      <c r="J967" s="18"/>
    </row>
    <row r="968" customFormat="false" ht="22.35" hidden="false" customHeight="false" outlineLevel="0" collapsed="false">
      <c r="A968" s="18" t="s">
        <v>1888</v>
      </c>
      <c r="B968" s="18" t="s">
        <v>57</v>
      </c>
      <c r="C968" s="18" t="s">
        <v>1778</v>
      </c>
      <c r="D968" s="18" t="s">
        <v>175</v>
      </c>
      <c r="E968" s="19" t="s">
        <v>1889</v>
      </c>
      <c r="F968" s="18" t="s">
        <v>2624</v>
      </c>
      <c r="G968" s="18" t="n">
        <v>1</v>
      </c>
      <c r="H968" s="18" t="s">
        <v>2668</v>
      </c>
      <c r="I968" s="19"/>
      <c r="J968" s="18"/>
    </row>
    <row r="969" customFormat="false" ht="15" hidden="false" customHeight="false" outlineLevel="0" collapsed="false">
      <c r="A969" s="18" t="s">
        <v>1890</v>
      </c>
      <c r="B969" s="18" t="s">
        <v>57</v>
      </c>
      <c r="C969" s="18" t="s">
        <v>1778</v>
      </c>
      <c r="D969" s="18" t="s">
        <v>175</v>
      </c>
      <c r="E969" s="19" t="s">
        <v>1891</v>
      </c>
      <c r="F969" s="18" t="s">
        <v>2624</v>
      </c>
      <c r="G969" s="18" t="n">
        <v>1</v>
      </c>
      <c r="H969" s="18" t="s">
        <v>2668</v>
      </c>
      <c r="I969" s="19"/>
      <c r="J969" s="18"/>
    </row>
    <row r="970" customFormat="false" ht="15" hidden="false" customHeight="false" outlineLevel="0" collapsed="false">
      <c r="A970" s="18" t="s">
        <v>1892</v>
      </c>
      <c r="B970" s="18" t="s">
        <v>57</v>
      </c>
      <c r="C970" s="18" t="s">
        <v>1778</v>
      </c>
      <c r="D970" s="18" t="s">
        <v>175</v>
      </c>
      <c r="E970" s="19" t="s">
        <v>1893</v>
      </c>
      <c r="F970" s="18" t="s">
        <v>2624</v>
      </c>
      <c r="G970" s="18" t="n">
        <v>1</v>
      </c>
      <c r="H970" s="18" t="s">
        <v>2668</v>
      </c>
      <c r="I970" s="19"/>
      <c r="J970" s="18"/>
    </row>
    <row r="971" customFormat="false" ht="15" hidden="false" customHeight="false" outlineLevel="0" collapsed="false">
      <c r="A971" s="18" t="s">
        <v>1894</v>
      </c>
      <c r="B971" s="18" t="s">
        <v>57</v>
      </c>
      <c r="C971" s="18" t="s">
        <v>1778</v>
      </c>
      <c r="D971" s="18" t="s">
        <v>84</v>
      </c>
      <c r="E971" s="19" t="s">
        <v>1895</v>
      </c>
      <c r="F971" s="18" t="s">
        <v>2624</v>
      </c>
      <c r="G971" s="18" t="n">
        <v>1</v>
      </c>
      <c r="H971" s="18" t="s">
        <v>2625</v>
      </c>
      <c r="I971" s="19"/>
      <c r="J971" s="18"/>
    </row>
    <row r="972" customFormat="false" ht="15" hidden="false" customHeight="false" outlineLevel="0" collapsed="false">
      <c r="A972" s="18" t="s">
        <v>1896</v>
      </c>
      <c r="B972" s="18" t="s">
        <v>57</v>
      </c>
      <c r="C972" s="18" t="s">
        <v>1778</v>
      </c>
      <c r="D972" s="18" t="s">
        <v>84</v>
      </c>
      <c r="E972" s="19" t="s">
        <v>1897</v>
      </c>
      <c r="F972" s="18" t="s">
        <v>2624</v>
      </c>
      <c r="G972" s="18" t="n">
        <v>1</v>
      </c>
      <c r="H972" s="18" t="s">
        <v>2625</v>
      </c>
      <c r="I972" s="19"/>
      <c r="J972" s="18"/>
    </row>
    <row r="973" customFormat="false" ht="15" hidden="false" customHeight="false" outlineLevel="0" collapsed="false">
      <c r="A973" s="18" t="s">
        <v>1898</v>
      </c>
      <c r="B973" s="18" t="s">
        <v>57</v>
      </c>
      <c r="C973" s="18" t="s">
        <v>1778</v>
      </c>
      <c r="D973" s="18" t="s">
        <v>84</v>
      </c>
      <c r="E973" s="19" t="s">
        <v>1899</v>
      </c>
      <c r="F973" s="18" t="s">
        <v>2624</v>
      </c>
      <c r="G973" s="18" t="n">
        <v>1</v>
      </c>
      <c r="H973" s="18" t="s">
        <v>2667</v>
      </c>
      <c r="I973" s="19"/>
      <c r="J973" s="18"/>
    </row>
    <row r="974" customFormat="false" ht="32.8" hidden="false" customHeight="false" outlineLevel="0" collapsed="false">
      <c r="A974" s="18" t="s">
        <v>1900</v>
      </c>
      <c r="B974" s="18" t="s">
        <v>57</v>
      </c>
      <c r="C974" s="18" t="s">
        <v>1778</v>
      </c>
      <c r="D974" s="18" t="s">
        <v>84</v>
      </c>
      <c r="E974" s="19" t="s">
        <v>1901</v>
      </c>
      <c r="F974" s="18" t="s">
        <v>2624</v>
      </c>
      <c r="G974" s="18" t="n">
        <v>1</v>
      </c>
      <c r="H974" s="18" t="s">
        <v>2625</v>
      </c>
      <c r="I974" s="19"/>
      <c r="J974" s="18"/>
    </row>
    <row r="975" customFormat="false" ht="15" hidden="false" customHeight="false" outlineLevel="0" collapsed="false">
      <c r="A975" s="18" t="s">
        <v>1902</v>
      </c>
      <c r="B975" s="18" t="s">
        <v>57</v>
      </c>
      <c r="C975" s="18" t="s">
        <v>1778</v>
      </c>
      <c r="D975" s="18" t="s">
        <v>84</v>
      </c>
      <c r="E975" s="19" t="s">
        <v>1903</v>
      </c>
      <c r="F975" s="18" t="s">
        <v>2624</v>
      </c>
      <c r="G975" s="18" t="n">
        <v>1</v>
      </c>
      <c r="H975" s="18" t="s">
        <v>2625</v>
      </c>
      <c r="I975" s="19"/>
      <c r="J975" s="18"/>
    </row>
    <row r="976" customFormat="false" ht="32.8" hidden="false" customHeight="false" outlineLevel="0" collapsed="false">
      <c r="A976" s="18" t="s">
        <v>1904</v>
      </c>
      <c r="B976" s="18" t="s">
        <v>57</v>
      </c>
      <c r="C976" s="18" t="s">
        <v>1778</v>
      </c>
      <c r="D976" s="18" t="s">
        <v>84</v>
      </c>
      <c r="E976" s="19" t="s">
        <v>1905</v>
      </c>
      <c r="F976" s="18" t="s">
        <v>2624</v>
      </c>
      <c r="G976" s="18" t="n">
        <v>1</v>
      </c>
      <c r="H976" s="18" t="s">
        <v>2625</v>
      </c>
      <c r="I976" s="19"/>
      <c r="J976" s="18"/>
    </row>
    <row r="977" customFormat="false" ht="22.35" hidden="false" customHeight="false" outlineLevel="0" collapsed="false">
      <c r="A977" s="18" t="s">
        <v>1906</v>
      </c>
      <c r="B977" s="18" t="s">
        <v>57</v>
      </c>
      <c r="C977" s="18" t="s">
        <v>1778</v>
      </c>
      <c r="D977" s="18" t="s">
        <v>84</v>
      </c>
      <c r="E977" s="19" t="s">
        <v>236</v>
      </c>
      <c r="F977" s="18" t="s">
        <v>2627</v>
      </c>
      <c r="G977" s="18" t="n">
        <v>0</v>
      </c>
      <c r="H977" s="18"/>
      <c r="I977" s="19" t="s">
        <v>2635</v>
      </c>
      <c r="J977" s="18"/>
    </row>
    <row r="978" customFormat="false" ht="15" hidden="false" customHeight="false" outlineLevel="0" collapsed="false">
      <c r="A978" s="18" t="s">
        <v>1907</v>
      </c>
      <c r="B978" s="18" t="s">
        <v>57</v>
      </c>
      <c r="C978" s="18" t="s">
        <v>1778</v>
      </c>
      <c r="D978" s="18" t="s">
        <v>158</v>
      </c>
      <c r="E978" s="19" t="s">
        <v>1908</v>
      </c>
      <c r="F978" s="18" t="s">
        <v>2624</v>
      </c>
      <c r="G978" s="18" t="n">
        <v>1</v>
      </c>
      <c r="H978" s="18" t="s">
        <v>2668</v>
      </c>
      <c r="I978" s="19"/>
      <c r="J978" s="18"/>
    </row>
    <row r="979" customFormat="false" ht="22.35" hidden="false" customHeight="false" outlineLevel="0" collapsed="false">
      <c r="A979" s="18" t="s">
        <v>1909</v>
      </c>
      <c r="B979" s="18" t="s">
        <v>57</v>
      </c>
      <c r="C979" s="18" t="s">
        <v>1778</v>
      </c>
      <c r="D979" s="18" t="s">
        <v>164</v>
      </c>
      <c r="E979" s="19" t="s">
        <v>1910</v>
      </c>
      <c r="F979" s="18" t="s">
        <v>2624</v>
      </c>
      <c r="G979" s="18" t="n">
        <v>1</v>
      </c>
      <c r="H979" s="18" t="s">
        <v>2668</v>
      </c>
      <c r="I979" s="19"/>
      <c r="J979" s="18"/>
    </row>
    <row r="980" customFormat="false" ht="32.8" hidden="false" customHeight="false" outlineLevel="0" collapsed="false">
      <c r="A980" s="18" t="s">
        <v>1911</v>
      </c>
      <c r="B980" s="18" t="s">
        <v>57</v>
      </c>
      <c r="C980" s="18" t="s">
        <v>1778</v>
      </c>
      <c r="D980" s="18" t="s">
        <v>164</v>
      </c>
      <c r="E980" s="19" t="s">
        <v>1912</v>
      </c>
      <c r="F980" s="18" t="s">
        <v>2624</v>
      </c>
      <c r="G980" s="18" t="n">
        <v>1</v>
      </c>
      <c r="H980" s="18" t="s">
        <v>2625</v>
      </c>
      <c r="I980" s="19"/>
      <c r="J980" s="18"/>
    </row>
    <row r="981" customFormat="false" ht="15" hidden="false" customHeight="false" outlineLevel="0" collapsed="false">
      <c r="A981" s="18" t="s">
        <v>1913</v>
      </c>
      <c r="B981" s="18" t="s">
        <v>57</v>
      </c>
      <c r="C981" s="18" t="s">
        <v>1778</v>
      </c>
      <c r="D981" s="18" t="s">
        <v>164</v>
      </c>
      <c r="E981" s="19" t="s">
        <v>1914</v>
      </c>
      <c r="F981" s="18" t="s">
        <v>2624</v>
      </c>
      <c r="G981" s="18" t="n">
        <v>1</v>
      </c>
      <c r="H981" s="18" t="s">
        <v>2668</v>
      </c>
      <c r="I981" s="19"/>
      <c r="J981" s="18"/>
    </row>
    <row r="982" customFormat="false" ht="15" hidden="false" customHeight="false" outlineLevel="0" collapsed="false">
      <c r="A982" s="18" t="s">
        <v>1915</v>
      </c>
      <c r="B982" s="18" t="s">
        <v>59</v>
      </c>
      <c r="C982" s="18" t="s">
        <v>942</v>
      </c>
      <c r="D982" s="18" t="s">
        <v>175</v>
      </c>
      <c r="E982" s="19" t="s">
        <v>1916</v>
      </c>
      <c r="F982" s="18" t="s">
        <v>2630</v>
      </c>
      <c r="G982" s="18" t="n">
        <v>0.67</v>
      </c>
      <c r="H982" s="18" t="s">
        <v>2660</v>
      </c>
      <c r="I982" s="19"/>
      <c r="J982" s="18"/>
    </row>
    <row r="983" customFormat="false" ht="32.8" hidden="false" customHeight="false" outlineLevel="0" collapsed="false">
      <c r="A983" s="18" t="s">
        <v>1917</v>
      </c>
      <c r="B983" s="18" t="s">
        <v>59</v>
      </c>
      <c r="C983" s="18" t="s">
        <v>942</v>
      </c>
      <c r="D983" s="18" t="s">
        <v>168</v>
      </c>
      <c r="E983" s="19" t="s">
        <v>1918</v>
      </c>
      <c r="F983" s="18" t="s">
        <v>2624</v>
      </c>
      <c r="G983" s="18" t="n">
        <v>1</v>
      </c>
      <c r="H983" s="18" t="s">
        <v>2625</v>
      </c>
      <c r="I983" s="19"/>
      <c r="J983" s="18"/>
    </row>
    <row r="984" customFormat="false" ht="22.35" hidden="false" customHeight="false" outlineLevel="0" collapsed="false">
      <c r="A984" s="18" t="s">
        <v>1919</v>
      </c>
      <c r="B984" s="18" t="s">
        <v>59</v>
      </c>
      <c r="C984" s="18" t="s">
        <v>942</v>
      </c>
      <c r="D984" s="18" t="s">
        <v>164</v>
      </c>
      <c r="E984" s="19" t="s">
        <v>1920</v>
      </c>
      <c r="F984" s="18" t="s">
        <v>2624</v>
      </c>
      <c r="G984" s="18" t="n">
        <v>1</v>
      </c>
      <c r="H984" s="18" t="s">
        <v>2669</v>
      </c>
      <c r="I984" s="19"/>
      <c r="J984" s="18"/>
    </row>
    <row r="985" customFormat="false" ht="15" hidden="false" customHeight="false" outlineLevel="0" collapsed="false">
      <c r="A985" s="18" t="s">
        <v>1921</v>
      </c>
      <c r="B985" s="18" t="s">
        <v>59</v>
      </c>
      <c r="C985" s="18" t="s">
        <v>942</v>
      </c>
      <c r="D985" s="18" t="s">
        <v>354</v>
      </c>
      <c r="E985" s="19" t="s">
        <v>1922</v>
      </c>
      <c r="F985" s="18" t="s">
        <v>2624</v>
      </c>
      <c r="G985" s="18" t="n">
        <v>1</v>
      </c>
      <c r="H985" s="18" t="s">
        <v>2660</v>
      </c>
      <c r="I985" s="19"/>
      <c r="J985" s="18"/>
    </row>
    <row r="986" customFormat="false" ht="15" hidden="false" customHeight="false" outlineLevel="0" collapsed="false">
      <c r="A986" s="18" t="s">
        <v>1923</v>
      </c>
      <c r="B986" s="18" t="s">
        <v>59</v>
      </c>
      <c r="C986" s="18" t="s">
        <v>942</v>
      </c>
      <c r="D986" s="18" t="s">
        <v>354</v>
      </c>
      <c r="E986" s="19" t="s">
        <v>1924</v>
      </c>
      <c r="F986" s="18" t="s">
        <v>2624</v>
      </c>
      <c r="G986" s="18" t="n">
        <v>1</v>
      </c>
      <c r="H986" s="18" t="s">
        <v>2660</v>
      </c>
      <c r="I986" s="19"/>
      <c r="J986" s="18"/>
    </row>
    <row r="987" customFormat="false" ht="15" hidden="false" customHeight="false" outlineLevel="0" collapsed="false">
      <c r="A987" s="18" t="s">
        <v>1925</v>
      </c>
      <c r="B987" s="18" t="s">
        <v>59</v>
      </c>
      <c r="C987" s="18" t="s">
        <v>942</v>
      </c>
      <c r="D987" s="18" t="s">
        <v>354</v>
      </c>
      <c r="E987" s="19" t="s">
        <v>1926</v>
      </c>
      <c r="F987" s="18" t="s">
        <v>2624</v>
      </c>
      <c r="G987" s="18" t="n">
        <v>1</v>
      </c>
      <c r="H987" s="18" t="s">
        <v>2660</v>
      </c>
      <c r="I987" s="19"/>
      <c r="J987" s="18"/>
    </row>
    <row r="988" customFormat="false" ht="15" hidden="false" customHeight="false" outlineLevel="0" collapsed="false">
      <c r="A988" s="18" t="s">
        <v>1927</v>
      </c>
      <c r="B988" s="18" t="s">
        <v>59</v>
      </c>
      <c r="C988" s="18" t="s">
        <v>942</v>
      </c>
      <c r="D988" s="18" t="s">
        <v>354</v>
      </c>
      <c r="E988" s="19" t="s">
        <v>1928</v>
      </c>
      <c r="F988" s="18" t="s">
        <v>2624</v>
      </c>
      <c r="G988" s="18" t="n">
        <v>1</v>
      </c>
      <c r="H988" s="18" t="s">
        <v>2660</v>
      </c>
      <c r="I988" s="19"/>
      <c r="J988" s="18"/>
    </row>
    <row r="989" customFormat="false" ht="15" hidden="false" customHeight="false" outlineLevel="0" collapsed="false">
      <c r="A989" s="18" t="s">
        <v>1929</v>
      </c>
      <c r="B989" s="18" t="s">
        <v>59</v>
      </c>
      <c r="C989" s="18" t="s">
        <v>942</v>
      </c>
      <c r="D989" s="18" t="s">
        <v>354</v>
      </c>
      <c r="E989" s="19" t="s">
        <v>1930</v>
      </c>
      <c r="F989" s="18" t="s">
        <v>2624</v>
      </c>
      <c r="G989" s="18" t="n">
        <v>1</v>
      </c>
      <c r="H989" s="18" t="s">
        <v>2660</v>
      </c>
      <c r="I989" s="19"/>
      <c r="J989" s="18"/>
    </row>
    <row r="990" customFormat="false" ht="22.35" hidden="false" customHeight="false" outlineLevel="0" collapsed="false">
      <c r="A990" s="18" t="s">
        <v>1931</v>
      </c>
      <c r="B990" s="18" t="s">
        <v>59</v>
      </c>
      <c r="C990" s="18" t="s">
        <v>942</v>
      </c>
      <c r="D990" s="18" t="s">
        <v>354</v>
      </c>
      <c r="E990" s="19" t="s">
        <v>1932</v>
      </c>
      <c r="F990" s="18" t="s">
        <v>2624</v>
      </c>
      <c r="G990" s="18" t="n">
        <v>1</v>
      </c>
      <c r="H990" s="18" t="s">
        <v>2660</v>
      </c>
      <c r="I990" s="19"/>
      <c r="J990" s="18"/>
    </row>
    <row r="991" customFormat="false" ht="15" hidden="false" customHeight="false" outlineLevel="0" collapsed="false">
      <c r="A991" s="18" t="s">
        <v>1933</v>
      </c>
      <c r="B991" s="18" t="s">
        <v>59</v>
      </c>
      <c r="C991" s="18" t="s">
        <v>731</v>
      </c>
      <c r="D991" s="18" t="s">
        <v>158</v>
      </c>
      <c r="E991" s="19" t="s">
        <v>1934</v>
      </c>
      <c r="F991" s="18" t="s">
        <v>2624</v>
      </c>
      <c r="G991" s="18" t="n">
        <v>1</v>
      </c>
      <c r="H991" s="18" t="s">
        <v>2670</v>
      </c>
      <c r="I991" s="19"/>
      <c r="J991" s="18"/>
    </row>
    <row r="992" customFormat="false" ht="15" hidden="false" customHeight="false" outlineLevel="0" collapsed="false">
      <c r="A992" s="18" t="s">
        <v>1935</v>
      </c>
      <c r="B992" s="18" t="s">
        <v>59</v>
      </c>
      <c r="C992" s="18" t="s">
        <v>731</v>
      </c>
      <c r="D992" s="18" t="s">
        <v>175</v>
      </c>
      <c r="E992" s="19" t="s">
        <v>1924</v>
      </c>
      <c r="F992" s="18" t="s">
        <v>2624</v>
      </c>
      <c r="G992" s="18" t="n">
        <v>1</v>
      </c>
      <c r="H992" s="18" t="s">
        <v>2660</v>
      </c>
      <c r="I992" s="19"/>
      <c r="J992" s="18"/>
    </row>
    <row r="993" customFormat="false" ht="15" hidden="false" customHeight="false" outlineLevel="0" collapsed="false">
      <c r="A993" s="18" t="s">
        <v>1936</v>
      </c>
      <c r="B993" s="18" t="s">
        <v>59</v>
      </c>
      <c r="C993" s="18" t="s">
        <v>731</v>
      </c>
      <c r="D993" s="18" t="s">
        <v>175</v>
      </c>
      <c r="E993" s="19" t="s">
        <v>1937</v>
      </c>
      <c r="F993" s="18" t="s">
        <v>2624</v>
      </c>
      <c r="G993" s="18" t="n">
        <v>1</v>
      </c>
      <c r="H993" s="18" t="s">
        <v>2670</v>
      </c>
      <c r="I993" s="19"/>
      <c r="J993" s="18"/>
    </row>
    <row r="994" customFormat="false" ht="15" hidden="false" customHeight="false" outlineLevel="0" collapsed="false">
      <c r="A994" s="18" t="s">
        <v>1938</v>
      </c>
      <c r="B994" s="18" t="s">
        <v>59</v>
      </c>
      <c r="C994" s="18" t="s">
        <v>731</v>
      </c>
      <c r="D994" s="18" t="s">
        <v>175</v>
      </c>
      <c r="E994" s="19" t="s">
        <v>1939</v>
      </c>
      <c r="F994" s="18" t="s">
        <v>2624</v>
      </c>
      <c r="G994" s="18" t="n">
        <v>1</v>
      </c>
      <c r="H994" s="18" t="s">
        <v>2670</v>
      </c>
      <c r="I994" s="19"/>
      <c r="J994" s="18"/>
    </row>
    <row r="995" customFormat="false" ht="15" hidden="false" customHeight="false" outlineLevel="0" collapsed="false">
      <c r="A995" s="18" t="s">
        <v>1940</v>
      </c>
      <c r="B995" s="18" t="s">
        <v>59</v>
      </c>
      <c r="C995" s="18" t="s">
        <v>731</v>
      </c>
      <c r="D995" s="18" t="s">
        <v>175</v>
      </c>
      <c r="E995" s="19" t="s">
        <v>1941</v>
      </c>
      <c r="F995" s="18" t="s">
        <v>2624</v>
      </c>
      <c r="G995" s="18" t="n">
        <v>1</v>
      </c>
      <c r="H995" s="18" t="s">
        <v>2670</v>
      </c>
      <c r="I995" s="19"/>
      <c r="J995" s="18"/>
    </row>
    <row r="996" customFormat="false" ht="22.35" hidden="false" customHeight="false" outlineLevel="0" collapsed="false">
      <c r="A996" s="18" t="s">
        <v>1942</v>
      </c>
      <c r="B996" s="18" t="s">
        <v>59</v>
      </c>
      <c r="C996" s="18" t="s">
        <v>731</v>
      </c>
      <c r="D996" s="18" t="s">
        <v>175</v>
      </c>
      <c r="E996" s="19" t="s">
        <v>1943</v>
      </c>
      <c r="F996" s="18" t="s">
        <v>2624</v>
      </c>
      <c r="G996" s="18" t="n">
        <v>1</v>
      </c>
      <c r="H996" s="18" t="s">
        <v>2670</v>
      </c>
      <c r="I996" s="19"/>
      <c r="J996" s="18"/>
    </row>
    <row r="997" customFormat="false" ht="15" hidden="false" customHeight="false" outlineLevel="0" collapsed="false">
      <c r="A997" s="18" t="s">
        <v>1944</v>
      </c>
      <c r="B997" s="18" t="s">
        <v>59</v>
      </c>
      <c r="C997" s="18" t="s">
        <v>731</v>
      </c>
      <c r="D997" s="18" t="s">
        <v>158</v>
      </c>
      <c r="E997" s="19" t="s">
        <v>1945</v>
      </c>
      <c r="F997" s="18" t="s">
        <v>2624</v>
      </c>
      <c r="G997" s="18" t="n">
        <v>1</v>
      </c>
      <c r="H997" s="18" t="s">
        <v>2670</v>
      </c>
      <c r="I997" s="19"/>
      <c r="J997" s="18"/>
    </row>
    <row r="998" customFormat="false" ht="15" hidden="false" customHeight="false" outlineLevel="0" collapsed="false">
      <c r="A998" s="18" t="s">
        <v>1946</v>
      </c>
      <c r="B998" s="18" t="s">
        <v>59</v>
      </c>
      <c r="C998" s="18" t="s">
        <v>731</v>
      </c>
      <c r="D998" s="18" t="s">
        <v>175</v>
      </c>
      <c r="E998" s="19" t="s">
        <v>1947</v>
      </c>
      <c r="F998" s="18" t="s">
        <v>2624</v>
      </c>
      <c r="G998" s="18" t="n">
        <v>1</v>
      </c>
      <c r="H998" s="18" t="s">
        <v>2670</v>
      </c>
      <c r="I998" s="19"/>
      <c r="J998" s="18"/>
    </row>
    <row r="999" customFormat="false" ht="15" hidden="false" customHeight="false" outlineLevel="0" collapsed="false">
      <c r="A999" s="18" t="s">
        <v>1948</v>
      </c>
      <c r="B999" s="18" t="s">
        <v>59</v>
      </c>
      <c r="C999" s="18" t="s">
        <v>731</v>
      </c>
      <c r="D999" s="18" t="s">
        <v>175</v>
      </c>
      <c r="E999" s="19" t="s">
        <v>1949</v>
      </c>
      <c r="F999" s="18" t="s">
        <v>2624</v>
      </c>
      <c r="G999" s="18" t="n">
        <v>1</v>
      </c>
      <c r="H999" s="18" t="s">
        <v>2670</v>
      </c>
      <c r="I999" s="19"/>
      <c r="J999" s="18"/>
    </row>
    <row r="1000" customFormat="false" ht="15" hidden="false" customHeight="false" outlineLevel="0" collapsed="false">
      <c r="A1000" s="18" t="s">
        <v>1950</v>
      </c>
      <c r="B1000" s="18" t="s">
        <v>59</v>
      </c>
      <c r="C1000" s="18" t="s">
        <v>731</v>
      </c>
      <c r="D1000" s="18" t="s">
        <v>175</v>
      </c>
      <c r="E1000" s="19" t="s">
        <v>1951</v>
      </c>
      <c r="F1000" s="18" t="s">
        <v>2624</v>
      </c>
      <c r="G1000" s="18" t="n">
        <v>1</v>
      </c>
      <c r="H1000" s="18" t="s">
        <v>2670</v>
      </c>
      <c r="I1000" s="19"/>
      <c r="J1000" s="18"/>
    </row>
    <row r="1001" customFormat="false" ht="15" hidden="false" customHeight="false" outlineLevel="0" collapsed="false">
      <c r="A1001" s="18" t="s">
        <v>1952</v>
      </c>
      <c r="B1001" s="18" t="s">
        <v>59</v>
      </c>
      <c r="C1001" s="18" t="s">
        <v>731</v>
      </c>
      <c r="D1001" s="18" t="s">
        <v>175</v>
      </c>
      <c r="E1001" s="19" t="s">
        <v>1953</v>
      </c>
      <c r="F1001" s="18" t="s">
        <v>2624</v>
      </c>
      <c r="G1001" s="18" t="n">
        <v>1</v>
      </c>
      <c r="H1001" s="18" t="s">
        <v>2670</v>
      </c>
      <c r="I1001" s="19"/>
      <c r="J1001" s="18"/>
    </row>
    <row r="1002" customFormat="false" ht="15" hidden="false" customHeight="false" outlineLevel="0" collapsed="false">
      <c r="A1002" s="18" t="s">
        <v>1954</v>
      </c>
      <c r="B1002" s="18" t="s">
        <v>59</v>
      </c>
      <c r="C1002" s="18" t="s">
        <v>731</v>
      </c>
      <c r="D1002" s="18" t="s">
        <v>175</v>
      </c>
      <c r="E1002" s="19" t="s">
        <v>1955</v>
      </c>
      <c r="F1002" s="18" t="s">
        <v>2624</v>
      </c>
      <c r="G1002" s="18" t="n">
        <v>1</v>
      </c>
      <c r="H1002" s="18" t="s">
        <v>2670</v>
      </c>
      <c r="I1002" s="19"/>
      <c r="J1002" s="18"/>
    </row>
    <row r="1003" customFormat="false" ht="15" hidden="false" customHeight="false" outlineLevel="0" collapsed="false">
      <c r="A1003" s="18" t="s">
        <v>1956</v>
      </c>
      <c r="B1003" s="18" t="s">
        <v>59</v>
      </c>
      <c r="C1003" s="18" t="s">
        <v>1255</v>
      </c>
      <c r="D1003" s="18" t="s">
        <v>158</v>
      </c>
      <c r="E1003" s="19" t="s">
        <v>1957</v>
      </c>
      <c r="F1003" s="18" t="s">
        <v>2624</v>
      </c>
      <c r="G1003" s="18" t="n">
        <v>1</v>
      </c>
      <c r="H1003" s="18" t="s">
        <v>2671</v>
      </c>
      <c r="I1003" s="19"/>
      <c r="J1003" s="18"/>
    </row>
    <row r="1004" customFormat="false" ht="15" hidden="false" customHeight="false" outlineLevel="0" collapsed="false">
      <c r="A1004" s="18" t="s">
        <v>1958</v>
      </c>
      <c r="B1004" s="18" t="s">
        <v>59</v>
      </c>
      <c r="C1004" s="18" t="s">
        <v>1255</v>
      </c>
      <c r="D1004" s="18" t="s">
        <v>175</v>
      </c>
      <c r="E1004" s="19" t="s">
        <v>1924</v>
      </c>
      <c r="F1004" s="18" t="s">
        <v>2624</v>
      </c>
      <c r="G1004" s="18" t="n">
        <v>1</v>
      </c>
      <c r="H1004" s="18" t="s">
        <v>2660</v>
      </c>
      <c r="I1004" s="19"/>
      <c r="J1004" s="18"/>
    </row>
    <row r="1005" customFormat="false" ht="15" hidden="false" customHeight="false" outlineLevel="0" collapsed="false">
      <c r="A1005" s="18" t="s">
        <v>1959</v>
      </c>
      <c r="B1005" s="18" t="s">
        <v>59</v>
      </c>
      <c r="C1005" s="18" t="s">
        <v>1255</v>
      </c>
      <c r="D1005" s="18" t="s">
        <v>175</v>
      </c>
      <c r="E1005" s="19" t="s">
        <v>1960</v>
      </c>
      <c r="F1005" s="18" t="s">
        <v>2624</v>
      </c>
      <c r="G1005" s="18" t="n">
        <v>1</v>
      </c>
      <c r="H1005" s="18" t="s">
        <v>2671</v>
      </c>
      <c r="I1005" s="19"/>
      <c r="J1005" s="18"/>
    </row>
    <row r="1006" customFormat="false" ht="15" hidden="false" customHeight="false" outlineLevel="0" collapsed="false">
      <c r="A1006" s="18" t="s">
        <v>1961</v>
      </c>
      <c r="B1006" s="18" t="s">
        <v>59</v>
      </c>
      <c r="C1006" s="18" t="s">
        <v>1255</v>
      </c>
      <c r="D1006" s="18" t="s">
        <v>175</v>
      </c>
      <c r="E1006" s="19" t="s">
        <v>1962</v>
      </c>
      <c r="F1006" s="18" t="s">
        <v>2624</v>
      </c>
      <c r="G1006" s="18" t="n">
        <v>1</v>
      </c>
      <c r="H1006" s="18" t="s">
        <v>2671</v>
      </c>
      <c r="I1006" s="19"/>
      <c r="J1006" s="18"/>
    </row>
    <row r="1007" customFormat="false" ht="15" hidden="false" customHeight="false" outlineLevel="0" collapsed="false">
      <c r="A1007" s="18" t="s">
        <v>1963</v>
      </c>
      <c r="B1007" s="18" t="s">
        <v>59</v>
      </c>
      <c r="C1007" s="18" t="s">
        <v>1255</v>
      </c>
      <c r="D1007" s="18" t="s">
        <v>175</v>
      </c>
      <c r="E1007" s="19" t="s">
        <v>1964</v>
      </c>
      <c r="F1007" s="18" t="s">
        <v>2624</v>
      </c>
      <c r="G1007" s="18" t="n">
        <v>1</v>
      </c>
      <c r="H1007" s="18" t="s">
        <v>2671</v>
      </c>
      <c r="I1007" s="19"/>
      <c r="J1007" s="18"/>
    </row>
    <row r="1008" customFormat="false" ht="15" hidden="false" customHeight="false" outlineLevel="0" collapsed="false">
      <c r="A1008" s="18" t="s">
        <v>1965</v>
      </c>
      <c r="B1008" s="18" t="s">
        <v>59</v>
      </c>
      <c r="C1008" s="18" t="s">
        <v>1255</v>
      </c>
      <c r="D1008" s="18" t="s">
        <v>175</v>
      </c>
      <c r="E1008" s="19" t="s">
        <v>1966</v>
      </c>
      <c r="F1008" s="18" t="s">
        <v>2624</v>
      </c>
      <c r="G1008" s="18" t="n">
        <v>1</v>
      </c>
      <c r="H1008" s="18" t="s">
        <v>2671</v>
      </c>
      <c r="I1008" s="19"/>
      <c r="J1008" s="18"/>
    </row>
    <row r="1009" customFormat="false" ht="15" hidden="false" customHeight="false" outlineLevel="0" collapsed="false">
      <c r="A1009" s="18" t="s">
        <v>1967</v>
      </c>
      <c r="B1009" s="18" t="s">
        <v>59</v>
      </c>
      <c r="C1009" s="18" t="s">
        <v>942</v>
      </c>
      <c r="D1009" s="18" t="s">
        <v>158</v>
      </c>
      <c r="E1009" s="19" t="s">
        <v>1968</v>
      </c>
      <c r="F1009" s="18" t="s">
        <v>2624</v>
      </c>
      <c r="G1009" s="18" t="n">
        <v>1</v>
      </c>
      <c r="H1009" s="18" t="s">
        <v>2660</v>
      </c>
      <c r="I1009" s="19"/>
      <c r="J1009" s="18"/>
    </row>
    <row r="1010" customFormat="false" ht="15" hidden="false" customHeight="false" outlineLevel="0" collapsed="false">
      <c r="A1010" s="18" t="s">
        <v>1969</v>
      </c>
      <c r="B1010" s="18" t="s">
        <v>59</v>
      </c>
      <c r="C1010" s="18" t="s">
        <v>942</v>
      </c>
      <c r="D1010" s="18" t="s">
        <v>175</v>
      </c>
      <c r="E1010" s="19" t="s">
        <v>1970</v>
      </c>
      <c r="F1010" s="18" t="s">
        <v>2624</v>
      </c>
      <c r="G1010" s="18" t="n">
        <v>1</v>
      </c>
      <c r="H1010" s="18" t="s">
        <v>2660</v>
      </c>
      <c r="I1010" s="19"/>
      <c r="J1010" s="18"/>
    </row>
    <row r="1011" customFormat="false" ht="22.35" hidden="false" customHeight="false" outlineLevel="0" collapsed="false">
      <c r="A1011" s="18" t="s">
        <v>1971</v>
      </c>
      <c r="B1011" s="18" t="s">
        <v>59</v>
      </c>
      <c r="C1011" s="18" t="s">
        <v>942</v>
      </c>
      <c r="D1011" s="18" t="s">
        <v>175</v>
      </c>
      <c r="E1011" s="19" t="s">
        <v>1972</v>
      </c>
      <c r="F1011" s="18" t="s">
        <v>2624</v>
      </c>
      <c r="G1011" s="18" t="n">
        <v>1</v>
      </c>
      <c r="H1011" s="18" t="s">
        <v>2660</v>
      </c>
      <c r="I1011" s="19"/>
      <c r="J1011" s="18"/>
    </row>
    <row r="1012" customFormat="false" ht="22.35" hidden="false" customHeight="false" outlineLevel="0" collapsed="false">
      <c r="A1012" s="18" t="s">
        <v>1973</v>
      </c>
      <c r="B1012" s="18" t="s">
        <v>59</v>
      </c>
      <c r="C1012" s="18" t="s">
        <v>942</v>
      </c>
      <c r="D1012" s="18" t="s">
        <v>175</v>
      </c>
      <c r="E1012" s="19" t="s">
        <v>1974</v>
      </c>
      <c r="F1012" s="18" t="s">
        <v>2624</v>
      </c>
      <c r="G1012" s="18" t="n">
        <v>1</v>
      </c>
      <c r="H1012" s="18" t="s">
        <v>2660</v>
      </c>
      <c r="I1012" s="19"/>
      <c r="J1012" s="18"/>
    </row>
    <row r="1013" customFormat="false" ht="15" hidden="false" customHeight="false" outlineLevel="0" collapsed="false">
      <c r="A1013" s="18" t="s">
        <v>1975</v>
      </c>
      <c r="B1013" s="18" t="s">
        <v>59</v>
      </c>
      <c r="C1013" s="18" t="s">
        <v>942</v>
      </c>
      <c r="D1013" s="18" t="s">
        <v>175</v>
      </c>
      <c r="E1013" s="19" t="s">
        <v>1976</v>
      </c>
      <c r="F1013" s="18" t="s">
        <v>2624</v>
      </c>
      <c r="G1013" s="18" t="n">
        <v>1</v>
      </c>
      <c r="H1013" s="18" t="s">
        <v>2660</v>
      </c>
      <c r="I1013" s="19"/>
      <c r="J1013" s="18"/>
    </row>
    <row r="1014" customFormat="false" ht="22.35" hidden="false" customHeight="false" outlineLevel="0" collapsed="false">
      <c r="A1014" s="18" t="s">
        <v>1977</v>
      </c>
      <c r="B1014" s="18" t="s">
        <v>59</v>
      </c>
      <c r="C1014" s="18" t="s">
        <v>942</v>
      </c>
      <c r="D1014" s="18" t="s">
        <v>175</v>
      </c>
      <c r="E1014" s="19" t="s">
        <v>1978</v>
      </c>
      <c r="F1014" s="18" t="s">
        <v>2630</v>
      </c>
      <c r="G1014" s="18" t="n">
        <v>0.63</v>
      </c>
      <c r="H1014" s="18" t="s">
        <v>2669</v>
      </c>
      <c r="I1014" s="19"/>
      <c r="J1014" s="18"/>
    </row>
    <row r="1015" customFormat="false" ht="22.35" hidden="false" customHeight="false" outlineLevel="0" collapsed="false">
      <c r="A1015" s="18" t="s">
        <v>1979</v>
      </c>
      <c r="B1015" s="18" t="s">
        <v>59</v>
      </c>
      <c r="C1015" s="18" t="s">
        <v>942</v>
      </c>
      <c r="D1015" s="18" t="s">
        <v>175</v>
      </c>
      <c r="E1015" s="19" t="s">
        <v>1980</v>
      </c>
      <c r="F1015" s="18" t="s">
        <v>2624</v>
      </c>
      <c r="G1015" s="18" t="n">
        <v>1</v>
      </c>
      <c r="H1015" s="18" t="s">
        <v>2660</v>
      </c>
      <c r="I1015" s="19"/>
      <c r="J1015" s="18"/>
    </row>
    <row r="1016" customFormat="false" ht="15" hidden="false" customHeight="false" outlineLevel="0" collapsed="false">
      <c r="A1016" s="18" t="s">
        <v>1981</v>
      </c>
      <c r="B1016" s="18" t="s">
        <v>61</v>
      </c>
      <c r="C1016" s="18" t="s">
        <v>1255</v>
      </c>
      <c r="D1016" s="18" t="s">
        <v>175</v>
      </c>
      <c r="E1016" s="19" t="s">
        <v>1982</v>
      </c>
      <c r="F1016" s="18" t="s">
        <v>2624</v>
      </c>
      <c r="G1016" s="18" t="n">
        <v>1</v>
      </c>
      <c r="H1016" s="18" t="s">
        <v>2625</v>
      </c>
      <c r="I1016" s="19"/>
      <c r="J1016" s="18"/>
    </row>
    <row r="1017" customFormat="false" ht="22.35" hidden="false" customHeight="false" outlineLevel="0" collapsed="false">
      <c r="A1017" s="18" t="s">
        <v>1983</v>
      </c>
      <c r="B1017" s="18" t="s">
        <v>61</v>
      </c>
      <c r="C1017" s="18" t="s">
        <v>1255</v>
      </c>
      <c r="D1017" s="18" t="s">
        <v>168</v>
      </c>
      <c r="E1017" s="19" t="s">
        <v>1984</v>
      </c>
      <c r="F1017" s="18" t="s">
        <v>2624</v>
      </c>
      <c r="G1017" s="18" t="n">
        <v>1</v>
      </c>
      <c r="H1017" s="18" t="s">
        <v>2625</v>
      </c>
      <c r="I1017" s="19"/>
      <c r="J1017" s="18"/>
    </row>
    <row r="1018" customFormat="false" ht="15" hidden="false" customHeight="false" outlineLevel="0" collapsed="false">
      <c r="A1018" s="18" t="s">
        <v>1985</v>
      </c>
      <c r="B1018" s="18" t="s">
        <v>61</v>
      </c>
      <c r="C1018" s="18" t="s">
        <v>1255</v>
      </c>
      <c r="D1018" s="18" t="s">
        <v>175</v>
      </c>
      <c r="E1018" s="19" t="s">
        <v>1986</v>
      </c>
      <c r="F1018" s="18" t="s">
        <v>2624</v>
      </c>
      <c r="G1018" s="18" t="n">
        <v>1</v>
      </c>
      <c r="H1018" s="18" t="s">
        <v>2671</v>
      </c>
      <c r="I1018" s="19"/>
      <c r="J1018" s="18"/>
    </row>
    <row r="1019" customFormat="false" ht="15" hidden="false" customHeight="false" outlineLevel="0" collapsed="false">
      <c r="A1019" s="18" t="s">
        <v>1987</v>
      </c>
      <c r="B1019" s="18" t="s">
        <v>61</v>
      </c>
      <c r="C1019" s="18" t="s">
        <v>1255</v>
      </c>
      <c r="D1019" s="18" t="s">
        <v>164</v>
      </c>
      <c r="E1019" s="19" t="s">
        <v>1988</v>
      </c>
      <c r="F1019" s="18" t="s">
        <v>2624</v>
      </c>
      <c r="G1019" s="18" t="n">
        <v>1</v>
      </c>
      <c r="H1019" s="18" t="s">
        <v>2671</v>
      </c>
      <c r="I1019" s="19"/>
      <c r="J1019" s="18"/>
    </row>
    <row r="1020" customFormat="false" ht="15" hidden="false" customHeight="false" outlineLevel="0" collapsed="false">
      <c r="A1020" s="18" t="s">
        <v>1989</v>
      </c>
      <c r="B1020" s="18" t="s">
        <v>61</v>
      </c>
      <c r="C1020" s="18" t="s">
        <v>1255</v>
      </c>
      <c r="D1020" s="18" t="s">
        <v>164</v>
      </c>
      <c r="E1020" s="19" t="s">
        <v>1990</v>
      </c>
      <c r="F1020" s="18" t="s">
        <v>2624</v>
      </c>
      <c r="G1020" s="18" t="n">
        <v>1</v>
      </c>
      <c r="H1020" s="18" t="s">
        <v>2671</v>
      </c>
      <c r="I1020" s="19"/>
      <c r="J1020" s="18"/>
    </row>
    <row r="1021" customFormat="false" ht="22.35" hidden="false" customHeight="false" outlineLevel="0" collapsed="false">
      <c r="A1021" s="18" t="s">
        <v>1991</v>
      </c>
      <c r="B1021" s="18" t="s">
        <v>61</v>
      </c>
      <c r="C1021" s="18" t="s">
        <v>1255</v>
      </c>
      <c r="D1021" s="18" t="s">
        <v>164</v>
      </c>
      <c r="E1021" s="19" t="s">
        <v>1992</v>
      </c>
      <c r="F1021" s="18" t="s">
        <v>2624</v>
      </c>
      <c r="G1021" s="18" t="n">
        <v>1</v>
      </c>
      <c r="H1021" s="18" t="s">
        <v>2671</v>
      </c>
      <c r="I1021" s="19"/>
      <c r="J1021" s="18"/>
    </row>
    <row r="1022" customFormat="false" ht="15" hidden="false" customHeight="false" outlineLevel="0" collapsed="false">
      <c r="A1022" s="18" t="s">
        <v>1993</v>
      </c>
      <c r="B1022" s="18" t="s">
        <v>61</v>
      </c>
      <c r="C1022" s="18" t="s">
        <v>1255</v>
      </c>
      <c r="D1022" s="18" t="s">
        <v>164</v>
      </c>
      <c r="E1022" s="19" t="s">
        <v>1994</v>
      </c>
      <c r="F1022" s="18" t="s">
        <v>2624</v>
      </c>
      <c r="G1022" s="18" t="n">
        <v>1</v>
      </c>
      <c r="H1022" s="18" t="s">
        <v>2671</v>
      </c>
      <c r="I1022" s="19"/>
      <c r="J1022" s="18"/>
    </row>
    <row r="1023" customFormat="false" ht="15" hidden="false" customHeight="false" outlineLevel="0" collapsed="false">
      <c r="A1023" s="18" t="s">
        <v>1995</v>
      </c>
      <c r="B1023" s="18" t="s">
        <v>61</v>
      </c>
      <c r="C1023" s="18" t="s">
        <v>1255</v>
      </c>
      <c r="D1023" s="18" t="s">
        <v>164</v>
      </c>
      <c r="E1023" s="19" t="s">
        <v>1996</v>
      </c>
      <c r="F1023" s="18" t="s">
        <v>2624</v>
      </c>
      <c r="G1023" s="18" t="n">
        <v>1</v>
      </c>
      <c r="H1023" s="18" t="s">
        <v>2671</v>
      </c>
      <c r="I1023" s="19"/>
      <c r="J1023" s="18"/>
    </row>
    <row r="1024" customFormat="false" ht="15" hidden="false" customHeight="false" outlineLevel="0" collapsed="false">
      <c r="A1024" s="18" t="s">
        <v>1997</v>
      </c>
      <c r="B1024" s="18" t="s">
        <v>61</v>
      </c>
      <c r="C1024" s="18" t="s">
        <v>1255</v>
      </c>
      <c r="D1024" s="18" t="s">
        <v>411</v>
      </c>
      <c r="E1024" s="19" t="s">
        <v>1998</v>
      </c>
      <c r="F1024" s="18" t="s">
        <v>2624</v>
      </c>
      <c r="G1024" s="18" t="n">
        <v>1</v>
      </c>
      <c r="H1024" s="18" t="s">
        <v>2671</v>
      </c>
      <c r="I1024" s="19"/>
      <c r="J1024" s="18"/>
    </row>
    <row r="1025" customFormat="false" ht="15" hidden="false" customHeight="false" outlineLevel="0" collapsed="false">
      <c r="A1025" s="18" t="s">
        <v>1999</v>
      </c>
      <c r="B1025" s="18" t="s">
        <v>61</v>
      </c>
      <c r="C1025" s="18" t="s">
        <v>1255</v>
      </c>
      <c r="D1025" s="18" t="s">
        <v>164</v>
      </c>
      <c r="E1025" s="19" t="s">
        <v>2000</v>
      </c>
      <c r="F1025" s="18" t="s">
        <v>2624</v>
      </c>
      <c r="G1025" s="18" t="n">
        <v>1</v>
      </c>
      <c r="H1025" s="18" t="s">
        <v>2671</v>
      </c>
      <c r="I1025" s="19"/>
      <c r="J1025" s="18"/>
    </row>
    <row r="1026" customFormat="false" ht="15" hidden="false" customHeight="false" outlineLevel="0" collapsed="false">
      <c r="A1026" s="18" t="s">
        <v>2001</v>
      </c>
      <c r="B1026" s="18" t="s">
        <v>61</v>
      </c>
      <c r="C1026" s="18" t="s">
        <v>1255</v>
      </c>
      <c r="D1026" s="18" t="s">
        <v>164</v>
      </c>
      <c r="E1026" s="19" t="s">
        <v>2002</v>
      </c>
      <c r="F1026" s="18" t="s">
        <v>2624</v>
      </c>
      <c r="G1026" s="18" t="n">
        <v>1</v>
      </c>
      <c r="H1026" s="18" t="s">
        <v>2671</v>
      </c>
      <c r="I1026" s="19"/>
      <c r="J1026" s="18"/>
    </row>
    <row r="1027" customFormat="false" ht="15" hidden="false" customHeight="false" outlineLevel="0" collapsed="false">
      <c r="A1027" s="18" t="s">
        <v>2003</v>
      </c>
      <c r="B1027" s="18" t="s">
        <v>61</v>
      </c>
      <c r="C1027" s="18" t="s">
        <v>1255</v>
      </c>
      <c r="D1027" s="18" t="s">
        <v>164</v>
      </c>
      <c r="E1027" s="19" t="s">
        <v>2004</v>
      </c>
      <c r="F1027" s="18" t="s">
        <v>2624</v>
      </c>
      <c r="G1027" s="18" t="n">
        <v>1</v>
      </c>
      <c r="H1027" s="18" t="s">
        <v>2671</v>
      </c>
      <c r="I1027" s="19"/>
      <c r="J1027" s="18"/>
    </row>
    <row r="1028" customFormat="false" ht="15" hidden="false" customHeight="false" outlineLevel="0" collapsed="false">
      <c r="A1028" s="18" t="s">
        <v>2005</v>
      </c>
      <c r="B1028" s="18" t="s">
        <v>61</v>
      </c>
      <c r="C1028" s="18" t="s">
        <v>1255</v>
      </c>
      <c r="D1028" s="18" t="s">
        <v>164</v>
      </c>
      <c r="E1028" s="19" t="s">
        <v>2006</v>
      </c>
      <c r="F1028" s="18" t="s">
        <v>2624</v>
      </c>
      <c r="G1028" s="18" t="n">
        <v>1</v>
      </c>
      <c r="H1028" s="18" t="s">
        <v>2671</v>
      </c>
      <c r="I1028" s="19"/>
      <c r="J1028" s="18"/>
    </row>
    <row r="1029" customFormat="false" ht="15" hidden="false" customHeight="false" outlineLevel="0" collapsed="false">
      <c r="A1029" s="18" t="s">
        <v>2007</v>
      </c>
      <c r="B1029" s="18" t="s">
        <v>61</v>
      </c>
      <c r="C1029" s="18" t="s">
        <v>1255</v>
      </c>
      <c r="D1029" s="18" t="s">
        <v>164</v>
      </c>
      <c r="E1029" s="19" t="s">
        <v>2008</v>
      </c>
      <c r="F1029" s="18" t="s">
        <v>2624</v>
      </c>
      <c r="G1029" s="18" t="n">
        <v>1</v>
      </c>
      <c r="H1029" s="18" t="s">
        <v>2671</v>
      </c>
      <c r="I1029" s="19"/>
      <c r="J1029" s="18"/>
    </row>
    <row r="1030" customFormat="false" ht="15" hidden="false" customHeight="false" outlineLevel="0" collapsed="false">
      <c r="A1030" s="18" t="s">
        <v>2009</v>
      </c>
      <c r="B1030" s="18" t="s">
        <v>61</v>
      </c>
      <c r="C1030" s="18" t="s">
        <v>1255</v>
      </c>
      <c r="D1030" s="18" t="s">
        <v>164</v>
      </c>
      <c r="E1030" s="19" t="s">
        <v>2010</v>
      </c>
      <c r="F1030" s="18" t="s">
        <v>2624</v>
      </c>
      <c r="G1030" s="18" t="n">
        <v>1</v>
      </c>
      <c r="H1030" s="18" t="s">
        <v>2671</v>
      </c>
      <c r="I1030" s="19"/>
      <c r="J1030" s="18"/>
    </row>
    <row r="1031" customFormat="false" ht="15" hidden="false" customHeight="false" outlineLevel="0" collapsed="false">
      <c r="A1031" s="18" t="s">
        <v>2011</v>
      </c>
      <c r="B1031" s="18" t="s">
        <v>61</v>
      </c>
      <c r="C1031" s="18" t="s">
        <v>1255</v>
      </c>
      <c r="D1031" s="18" t="s">
        <v>164</v>
      </c>
      <c r="E1031" s="19" t="s">
        <v>2012</v>
      </c>
      <c r="F1031" s="18" t="s">
        <v>2624</v>
      </c>
      <c r="G1031" s="18" t="n">
        <v>1</v>
      </c>
      <c r="H1031" s="18" t="s">
        <v>2671</v>
      </c>
      <c r="I1031" s="19"/>
      <c r="J1031" s="18"/>
    </row>
    <row r="1032" customFormat="false" ht="15" hidden="false" customHeight="false" outlineLevel="0" collapsed="false">
      <c r="A1032" s="18" t="s">
        <v>2013</v>
      </c>
      <c r="B1032" s="18" t="s">
        <v>61</v>
      </c>
      <c r="C1032" s="18" t="s">
        <v>1255</v>
      </c>
      <c r="D1032" s="18" t="s">
        <v>164</v>
      </c>
      <c r="E1032" s="19" t="s">
        <v>2014</v>
      </c>
      <c r="F1032" s="18" t="s">
        <v>2624</v>
      </c>
      <c r="G1032" s="18" t="n">
        <v>1</v>
      </c>
      <c r="H1032" s="18" t="s">
        <v>2671</v>
      </c>
      <c r="I1032" s="19"/>
      <c r="J1032" s="18"/>
    </row>
    <row r="1033" customFormat="false" ht="15" hidden="false" customHeight="false" outlineLevel="0" collapsed="false">
      <c r="A1033" s="18" t="s">
        <v>2015</v>
      </c>
      <c r="B1033" s="18" t="s">
        <v>61</v>
      </c>
      <c r="C1033" s="18" t="s">
        <v>1255</v>
      </c>
      <c r="D1033" s="18" t="s">
        <v>164</v>
      </c>
      <c r="E1033" s="19" t="s">
        <v>2016</v>
      </c>
      <c r="F1033" s="18" t="s">
        <v>2624</v>
      </c>
      <c r="G1033" s="18" t="n">
        <v>1</v>
      </c>
      <c r="H1033" s="18" t="s">
        <v>2671</v>
      </c>
      <c r="I1033" s="19"/>
      <c r="J1033" s="18"/>
    </row>
    <row r="1034" customFormat="false" ht="15" hidden="false" customHeight="false" outlineLevel="0" collapsed="false">
      <c r="A1034" s="18" t="s">
        <v>2017</v>
      </c>
      <c r="B1034" s="18" t="s">
        <v>61</v>
      </c>
      <c r="C1034" s="18" t="s">
        <v>1255</v>
      </c>
      <c r="D1034" s="18" t="s">
        <v>175</v>
      </c>
      <c r="E1034" s="19" t="s">
        <v>2018</v>
      </c>
      <c r="F1034" s="18" t="s">
        <v>2624</v>
      </c>
      <c r="G1034" s="18" t="n">
        <v>1</v>
      </c>
      <c r="H1034" s="18" t="s">
        <v>2671</v>
      </c>
      <c r="I1034" s="19"/>
      <c r="J1034" s="18"/>
    </row>
    <row r="1035" customFormat="false" ht="15" hidden="false" customHeight="false" outlineLevel="0" collapsed="false">
      <c r="A1035" s="18" t="s">
        <v>2019</v>
      </c>
      <c r="B1035" s="18" t="s">
        <v>61</v>
      </c>
      <c r="C1035" s="18" t="s">
        <v>1255</v>
      </c>
      <c r="D1035" s="18" t="s">
        <v>164</v>
      </c>
      <c r="E1035" s="19" t="s">
        <v>2020</v>
      </c>
      <c r="F1035" s="18" t="s">
        <v>2624</v>
      </c>
      <c r="G1035" s="18" t="n">
        <v>1</v>
      </c>
      <c r="H1035" s="18" t="s">
        <v>2671</v>
      </c>
      <c r="I1035" s="19"/>
      <c r="J1035" s="18"/>
    </row>
    <row r="1036" customFormat="false" ht="15" hidden="false" customHeight="false" outlineLevel="0" collapsed="false">
      <c r="A1036" s="18" t="s">
        <v>2021</v>
      </c>
      <c r="B1036" s="18" t="s">
        <v>61</v>
      </c>
      <c r="C1036" s="18" t="s">
        <v>1255</v>
      </c>
      <c r="D1036" s="18" t="s">
        <v>164</v>
      </c>
      <c r="E1036" s="19" t="s">
        <v>2022</v>
      </c>
      <c r="F1036" s="18" t="s">
        <v>2624</v>
      </c>
      <c r="G1036" s="18" t="n">
        <v>1</v>
      </c>
      <c r="H1036" s="18" t="s">
        <v>2671</v>
      </c>
      <c r="I1036" s="19"/>
      <c r="J1036" s="18"/>
    </row>
    <row r="1037" customFormat="false" ht="15" hidden="false" customHeight="false" outlineLevel="0" collapsed="false">
      <c r="A1037" s="18" t="s">
        <v>2023</v>
      </c>
      <c r="B1037" s="18" t="s">
        <v>61</v>
      </c>
      <c r="C1037" s="18" t="s">
        <v>1255</v>
      </c>
      <c r="D1037" s="18" t="s">
        <v>164</v>
      </c>
      <c r="E1037" s="19" t="s">
        <v>2024</v>
      </c>
      <c r="F1037" s="18" t="s">
        <v>2624</v>
      </c>
      <c r="G1037" s="18" t="n">
        <v>1</v>
      </c>
      <c r="H1037" s="18" t="s">
        <v>2671</v>
      </c>
      <c r="I1037" s="19"/>
      <c r="J1037" s="18"/>
    </row>
    <row r="1038" customFormat="false" ht="22.35" hidden="false" customHeight="false" outlineLevel="0" collapsed="false">
      <c r="A1038" s="18" t="s">
        <v>2025</v>
      </c>
      <c r="B1038" s="18" t="s">
        <v>61</v>
      </c>
      <c r="C1038" s="18" t="s">
        <v>1255</v>
      </c>
      <c r="D1038" s="18" t="s">
        <v>164</v>
      </c>
      <c r="E1038" s="19" t="s">
        <v>2026</v>
      </c>
      <c r="F1038" s="18" t="s">
        <v>2624</v>
      </c>
      <c r="G1038" s="18" t="n">
        <v>1</v>
      </c>
      <c r="H1038" s="18" t="s">
        <v>2671</v>
      </c>
      <c r="I1038" s="19"/>
      <c r="J1038" s="18"/>
    </row>
    <row r="1039" customFormat="false" ht="15" hidden="false" customHeight="false" outlineLevel="0" collapsed="false">
      <c r="A1039" s="18" t="s">
        <v>2027</v>
      </c>
      <c r="B1039" s="18" t="s">
        <v>61</v>
      </c>
      <c r="C1039" s="18" t="s">
        <v>1255</v>
      </c>
      <c r="D1039" s="18" t="s">
        <v>164</v>
      </c>
      <c r="E1039" s="19" t="s">
        <v>2028</v>
      </c>
      <c r="F1039" s="18" t="s">
        <v>2624</v>
      </c>
      <c r="G1039" s="18" t="n">
        <v>1</v>
      </c>
      <c r="H1039" s="18" t="s">
        <v>2671</v>
      </c>
      <c r="I1039" s="19"/>
      <c r="J1039" s="18"/>
    </row>
    <row r="1040" customFormat="false" ht="15" hidden="false" customHeight="false" outlineLevel="0" collapsed="false">
      <c r="A1040" s="18" t="s">
        <v>2029</v>
      </c>
      <c r="B1040" s="18" t="s">
        <v>61</v>
      </c>
      <c r="C1040" s="18" t="s">
        <v>1255</v>
      </c>
      <c r="D1040" s="18" t="s">
        <v>164</v>
      </c>
      <c r="E1040" s="19" t="s">
        <v>2030</v>
      </c>
      <c r="F1040" s="18" t="s">
        <v>2624</v>
      </c>
      <c r="G1040" s="18" t="n">
        <v>1</v>
      </c>
      <c r="H1040" s="18" t="s">
        <v>2671</v>
      </c>
      <c r="I1040" s="19"/>
      <c r="J1040" s="18"/>
    </row>
    <row r="1041" customFormat="false" ht="15" hidden="false" customHeight="false" outlineLevel="0" collapsed="false">
      <c r="A1041" s="18" t="s">
        <v>2031</v>
      </c>
      <c r="B1041" s="18" t="s">
        <v>61</v>
      </c>
      <c r="C1041" s="18" t="s">
        <v>1255</v>
      </c>
      <c r="D1041" s="18" t="s">
        <v>164</v>
      </c>
      <c r="E1041" s="19" t="s">
        <v>2032</v>
      </c>
      <c r="F1041" s="18" t="s">
        <v>2624</v>
      </c>
      <c r="G1041" s="18" t="n">
        <v>1</v>
      </c>
      <c r="H1041" s="18" t="s">
        <v>2671</v>
      </c>
      <c r="I1041" s="19"/>
      <c r="J1041" s="18"/>
    </row>
    <row r="1042" customFormat="false" ht="22.35" hidden="false" customHeight="false" outlineLevel="0" collapsed="false">
      <c r="A1042" s="18" t="s">
        <v>2033</v>
      </c>
      <c r="B1042" s="18" t="s">
        <v>61</v>
      </c>
      <c r="C1042" s="18" t="s">
        <v>1255</v>
      </c>
      <c r="D1042" s="18" t="s">
        <v>164</v>
      </c>
      <c r="E1042" s="19" t="s">
        <v>2034</v>
      </c>
      <c r="F1042" s="18" t="s">
        <v>2624</v>
      </c>
      <c r="G1042" s="18" t="n">
        <v>1</v>
      </c>
      <c r="H1042" s="18" t="s">
        <v>2671</v>
      </c>
      <c r="I1042" s="19"/>
      <c r="J1042" s="18"/>
    </row>
    <row r="1043" customFormat="false" ht="15" hidden="false" customHeight="false" outlineLevel="0" collapsed="false">
      <c r="A1043" s="18" t="s">
        <v>2035</v>
      </c>
      <c r="B1043" s="18" t="s">
        <v>61</v>
      </c>
      <c r="C1043" s="18" t="s">
        <v>1255</v>
      </c>
      <c r="D1043" s="18" t="s">
        <v>164</v>
      </c>
      <c r="E1043" s="19" t="s">
        <v>2036</v>
      </c>
      <c r="F1043" s="18" t="s">
        <v>2624</v>
      </c>
      <c r="G1043" s="18" t="n">
        <v>1</v>
      </c>
      <c r="H1043" s="18" t="s">
        <v>2671</v>
      </c>
      <c r="I1043" s="19"/>
      <c r="J1043" s="18"/>
    </row>
    <row r="1044" customFormat="false" ht="22.35" hidden="false" customHeight="false" outlineLevel="0" collapsed="false">
      <c r="A1044" s="18" t="s">
        <v>2037</v>
      </c>
      <c r="B1044" s="18" t="s">
        <v>61</v>
      </c>
      <c r="C1044" s="18" t="s">
        <v>1255</v>
      </c>
      <c r="D1044" s="18" t="s">
        <v>164</v>
      </c>
      <c r="E1044" s="19" t="s">
        <v>2038</v>
      </c>
      <c r="F1044" s="18" t="s">
        <v>2624</v>
      </c>
      <c r="G1044" s="18" t="n">
        <v>1</v>
      </c>
      <c r="H1044" s="18" t="s">
        <v>2671</v>
      </c>
      <c r="I1044" s="19"/>
      <c r="J1044" s="18"/>
    </row>
    <row r="1045" customFormat="false" ht="15" hidden="false" customHeight="false" outlineLevel="0" collapsed="false">
      <c r="A1045" s="18" t="s">
        <v>2039</v>
      </c>
      <c r="B1045" s="18" t="s">
        <v>61</v>
      </c>
      <c r="C1045" s="18" t="s">
        <v>1255</v>
      </c>
      <c r="D1045" s="18" t="s">
        <v>411</v>
      </c>
      <c r="E1045" s="19" t="s">
        <v>2040</v>
      </c>
      <c r="F1045" s="18" t="s">
        <v>2624</v>
      </c>
      <c r="G1045" s="18" t="n">
        <v>1</v>
      </c>
      <c r="H1045" s="18" t="s">
        <v>2671</v>
      </c>
      <c r="I1045" s="19"/>
      <c r="J1045" s="18"/>
    </row>
    <row r="1046" customFormat="false" ht="15" hidden="false" customHeight="false" outlineLevel="0" collapsed="false">
      <c r="A1046" s="18" t="s">
        <v>2041</v>
      </c>
      <c r="B1046" s="18" t="s">
        <v>61</v>
      </c>
      <c r="C1046" s="18" t="s">
        <v>1255</v>
      </c>
      <c r="D1046" s="18" t="s">
        <v>164</v>
      </c>
      <c r="E1046" s="19" t="s">
        <v>2042</v>
      </c>
      <c r="F1046" s="18" t="s">
        <v>2624</v>
      </c>
      <c r="G1046" s="18" t="n">
        <v>1</v>
      </c>
      <c r="H1046" s="18" t="s">
        <v>2671</v>
      </c>
      <c r="I1046" s="19"/>
      <c r="J1046" s="18"/>
    </row>
    <row r="1047" customFormat="false" ht="22.35" hidden="false" customHeight="false" outlineLevel="0" collapsed="false">
      <c r="A1047" s="18" t="s">
        <v>2043</v>
      </c>
      <c r="B1047" s="18" t="s">
        <v>61</v>
      </c>
      <c r="C1047" s="18" t="s">
        <v>1255</v>
      </c>
      <c r="D1047" s="18" t="s">
        <v>175</v>
      </c>
      <c r="E1047" s="19" t="s">
        <v>2044</v>
      </c>
      <c r="F1047" s="18" t="s">
        <v>2624</v>
      </c>
      <c r="G1047" s="18" t="n">
        <v>1</v>
      </c>
      <c r="H1047" s="18" t="s">
        <v>2671</v>
      </c>
      <c r="I1047" s="19"/>
      <c r="J1047" s="18"/>
    </row>
    <row r="1048" customFormat="false" ht="15" hidden="false" customHeight="false" outlineLevel="0" collapsed="false">
      <c r="A1048" s="18" t="s">
        <v>2045</v>
      </c>
      <c r="B1048" s="18" t="s">
        <v>63</v>
      </c>
      <c r="C1048" s="18" t="s">
        <v>2047</v>
      </c>
      <c r="D1048" s="18" t="s">
        <v>158</v>
      </c>
      <c r="E1048" s="19" t="s">
        <v>2046</v>
      </c>
      <c r="F1048" s="18" t="s">
        <v>2624</v>
      </c>
      <c r="G1048" s="18" t="n">
        <v>1</v>
      </c>
      <c r="H1048" s="18" t="s">
        <v>2638</v>
      </c>
      <c r="I1048" s="19"/>
      <c r="J1048" s="18"/>
    </row>
    <row r="1049" customFormat="false" ht="15" hidden="false" customHeight="false" outlineLevel="0" collapsed="false">
      <c r="A1049" s="18" t="s">
        <v>2048</v>
      </c>
      <c r="B1049" s="18" t="s">
        <v>63</v>
      </c>
      <c r="C1049" s="18" t="s">
        <v>2047</v>
      </c>
      <c r="D1049" s="18" t="s">
        <v>158</v>
      </c>
      <c r="E1049" s="19" t="s">
        <v>2049</v>
      </c>
      <c r="F1049" s="18" t="s">
        <v>2636</v>
      </c>
      <c r="G1049" s="18" t="n">
        <v>0</v>
      </c>
      <c r="H1049" s="18"/>
      <c r="I1049" s="19" t="s">
        <v>2637</v>
      </c>
      <c r="J1049" s="18"/>
    </row>
    <row r="1050" customFormat="false" ht="15" hidden="false" customHeight="false" outlineLevel="0" collapsed="false">
      <c r="A1050" s="18" t="s">
        <v>2050</v>
      </c>
      <c r="B1050" s="18" t="s">
        <v>63</v>
      </c>
      <c r="C1050" s="18" t="s">
        <v>2047</v>
      </c>
      <c r="D1050" s="18" t="s">
        <v>158</v>
      </c>
      <c r="E1050" s="19" t="s">
        <v>2051</v>
      </c>
      <c r="F1050" s="18" t="s">
        <v>2624</v>
      </c>
      <c r="G1050" s="18" t="n">
        <v>1</v>
      </c>
      <c r="H1050" s="18" t="s">
        <v>2638</v>
      </c>
      <c r="I1050" s="19"/>
      <c r="J1050" s="18"/>
    </row>
    <row r="1051" customFormat="false" ht="15" hidden="false" customHeight="false" outlineLevel="0" collapsed="false">
      <c r="A1051" s="18" t="s">
        <v>2052</v>
      </c>
      <c r="B1051" s="18" t="s">
        <v>63</v>
      </c>
      <c r="C1051" s="18" t="s">
        <v>2047</v>
      </c>
      <c r="D1051" s="18" t="s">
        <v>164</v>
      </c>
      <c r="E1051" s="19" t="s">
        <v>2053</v>
      </c>
      <c r="F1051" s="18" t="s">
        <v>2624</v>
      </c>
      <c r="G1051" s="18" t="n">
        <v>1</v>
      </c>
      <c r="H1051" s="18" t="s">
        <v>2638</v>
      </c>
      <c r="I1051" s="19"/>
      <c r="J1051" s="18"/>
    </row>
    <row r="1052" customFormat="false" ht="22.35" hidden="false" customHeight="false" outlineLevel="0" collapsed="false">
      <c r="A1052" s="18" t="s">
        <v>2054</v>
      </c>
      <c r="B1052" s="18" t="s">
        <v>63</v>
      </c>
      <c r="C1052" s="18" t="s">
        <v>2047</v>
      </c>
      <c r="D1052" s="18" t="s">
        <v>354</v>
      </c>
      <c r="E1052" s="19" t="s">
        <v>2055</v>
      </c>
      <c r="F1052" s="18" t="s">
        <v>2624</v>
      </c>
      <c r="G1052" s="18" t="n">
        <v>1</v>
      </c>
      <c r="H1052" s="18" t="s">
        <v>2638</v>
      </c>
      <c r="I1052" s="19"/>
      <c r="J1052" s="18"/>
    </row>
    <row r="1053" customFormat="false" ht="22.35" hidden="false" customHeight="false" outlineLevel="0" collapsed="false">
      <c r="A1053" s="18" t="s">
        <v>2056</v>
      </c>
      <c r="B1053" s="18" t="s">
        <v>63</v>
      </c>
      <c r="C1053" s="18" t="s">
        <v>2047</v>
      </c>
      <c r="D1053" s="18" t="s">
        <v>164</v>
      </c>
      <c r="E1053" s="19" t="s">
        <v>2057</v>
      </c>
      <c r="F1053" s="18" t="s">
        <v>2624</v>
      </c>
      <c r="G1053" s="18" t="n">
        <v>1</v>
      </c>
      <c r="H1053" s="18" t="s">
        <v>2638</v>
      </c>
      <c r="I1053" s="19"/>
      <c r="J1053" s="18"/>
    </row>
    <row r="1054" customFormat="false" ht="22.35" hidden="false" customHeight="false" outlineLevel="0" collapsed="false">
      <c r="A1054" s="18" t="s">
        <v>2058</v>
      </c>
      <c r="B1054" s="18" t="s">
        <v>63</v>
      </c>
      <c r="C1054" s="18" t="s">
        <v>2047</v>
      </c>
      <c r="D1054" s="18" t="s">
        <v>164</v>
      </c>
      <c r="E1054" s="19" t="s">
        <v>2059</v>
      </c>
      <c r="F1054" s="18" t="s">
        <v>2624</v>
      </c>
      <c r="G1054" s="18" t="n">
        <v>1</v>
      </c>
      <c r="H1054" s="18" t="s">
        <v>2638</v>
      </c>
      <c r="I1054" s="19"/>
      <c r="J1054" s="18"/>
    </row>
    <row r="1055" customFormat="false" ht="15" hidden="false" customHeight="false" outlineLevel="0" collapsed="false">
      <c r="A1055" s="18" t="s">
        <v>2060</v>
      </c>
      <c r="B1055" s="18" t="s">
        <v>63</v>
      </c>
      <c r="C1055" s="18" t="s">
        <v>2047</v>
      </c>
      <c r="D1055" s="18" t="s">
        <v>164</v>
      </c>
      <c r="E1055" s="19" t="s">
        <v>2061</v>
      </c>
      <c r="F1055" s="18" t="s">
        <v>2624</v>
      </c>
      <c r="G1055" s="18" t="n">
        <v>1</v>
      </c>
      <c r="H1055" s="18" t="s">
        <v>2638</v>
      </c>
      <c r="I1055" s="19"/>
      <c r="J1055" s="18"/>
    </row>
    <row r="1056" customFormat="false" ht="15" hidden="false" customHeight="false" outlineLevel="0" collapsed="false">
      <c r="A1056" s="18" t="s">
        <v>2062</v>
      </c>
      <c r="B1056" s="18" t="s">
        <v>63</v>
      </c>
      <c r="C1056" s="18" t="s">
        <v>2047</v>
      </c>
      <c r="D1056" s="18" t="s">
        <v>158</v>
      </c>
      <c r="E1056" s="19" t="s">
        <v>2063</v>
      </c>
      <c r="F1056" s="18" t="s">
        <v>2624</v>
      </c>
      <c r="G1056" s="18" t="n">
        <v>1</v>
      </c>
      <c r="H1056" s="18" t="s">
        <v>2638</v>
      </c>
      <c r="I1056" s="19"/>
      <c r="J1056" s="18"/>
    </row>
    <row r="1057" customFormat="false" ht="32.8" hidden="false" customHeight="false" outlineLevel="0" collapsed="false">
      <c r="A1057" s="18" t="s">
        <v>2064</v>
      </c>
      <c r="B1057" s="18" t="s">
        <v>63</v>
      </c>
      <c r="C1057" s="18" t="s">
        <v>2047</v>
      </c>
      <c r="D1057" s="18" t="s">
        <v>354</v>
      </c>
      <c r="E1057" s="19" t="s">
        <v>2065</v>
      </c>
      <c r="F1057" s="18" t="s">
        <v>2624</v>
      </c>
      <c r="G1057" s="18" t="n">
        <v>1</v>
      </c>
      <c r="H1057" s="18" t="s">
        <v>2638</v>
      </c>
      <c r="I1057" s="19"/>
      <c r="J1057" s="18"/>
    </row>
    <row r="1058" customFormat="false" ht="53.7" hidden="false" customHeight="false" outlineLevel="0" collapsed="false">
      <c r="A1058" s="18" t="s">
        <v>2066</v>
      </c>
      <c r="B1058" s="18" t="s">
        <v>63</v>
      </c>
      <c r="C1058" s="18" t="s">
        <v>2047</v>
      </c>
      <c r="D1058" s="18" t="s">
        <v>168</v>
      </c>
      <c r="E1058" s="19" t="s">
        <v>2067</v>
      </c>
      <c r="F1058" s="18" t="s">
        <v>2630</v>
      </c>
      <c r="G1058" s="18" t="n">
        <v>0.59</v>
      </c>
      <c r="H1058" s="18" t="s">
        <v>2638</v>
      </c>
      <c r="I1058" s="19"/>
      <c r="J1058" s="18"/>
    </row>
    <row r="1059" customFormat="false" ht="22.35" hidden="false" customHeight="false" outlineLevel="0" collapsed="false">
      <c r="A1059" s="18" t="s">
        <v>2068</v>
      </c>
      <c r="B1059" s="18" t="s">
        <v>63</v>
      </c>
      <c r="C1059" s="18" t="s">
        <v>2047</v>
      </c>
      <c r="D1059" s="18" t="s">
        <v>164</v>
      </c>
      <c r="E1059" s="19" t="s">
        <v>2069</v>
      </c>
      <c r="F1059" s="18" t="s">
        <v>2624</v>
      </c>
      <c r="G1059" s="18" t="n">
        <v>1</v>
      </c>
      <c r="H1059" s="18" t="s">
        <v>2638</v>
      </c>
      <c r="I1059" s="19"/>
      <c r="J1059" s="18"/>
    </row>
    <row r="1060" customFormat="false" ht="22.35" hidden="false" customHeight="false" outlineLevel="0" collapsed="false">
      <c r="A1060" s="18" t="s">
        <v>2070</v>
      </c>
      <c r="B1060" s="18" t="s">
        <v>63</v>
      </c>
      <c r="C1060" s="18" t="s">
        <v>2047</v>
      </c>
      <c r="D1060" s="18" t="s">
        <v>164</v>
      </c>
      <c r="E1060" s="19" t="s">
        <v>2071</v>
      </c>
      <c r="F1060" s="18" t="s">
        <v>2624</v>
      </c>
      <c r="G1060" s="18" t="n">
        <v>1</v>
      </c>
      <c r="H1060" s="18" t="s">
        <v>2638</v>
      </c>
      <c r="I1060" s="19"/>
      <c r="J1060" s="18"/>
    </row>
    <row r="1061" customFormat="false" ht="15" hidden="false" customHeight="false" outlineLevel="0" collapsed="false">
      <c r="A1061" s="18" t="s">
        <v>2072</v>
      </c>
      <c r="B1061" s="18" t="s">
        <v>63</v>
      </c>
      <c r="C1061" s="18" t="s">
        <v>2047</v>
      </c>
      <c r="D1061" s="18" t="s">
        <v>158</v>
      </c>
      <c r="E1061" s="19" t="s">
        <v>2073</v>
      </c>
      <c r="F1061" s="18" t="s">
        <v>2624</v>
      </c>
      <c r="G1061" s="18" t="n">
        <v>1</v>
      </c>
      <c r="H1061" s="18" t="s">
        <v>2638</v>
      </c>
      <c r="I1061" s="19"/>
      <c r="J1061" s="18"/>
    </row>
    <row r="1062" customFormat="false" ht="32.8" hidden="false" customHeight="false" outlineLevel="0" collapsed="false">
      <c r="A1062" s="18" t="s">
        <v>2074</v>
      </c>
      <c r="B1062" s="18" t="s">
        <v>63</v>
      </c>
      <c r="C1062" s="18" t="s">
        <v>2047</v>
      </c>
      <c r="D1062" s="18" t="s">
        <v>354</v>
      </c>
      <c r="E1062" s="19" t="s">
        <v>2075</v>
      </c>
      <c r="F1062" s="18" t="s">
        <v>2624</v>
      </c>
      <c r="G1062" s="18" t="n">
        <v>1</v>
      </c>
      <c r="H1062" s="18" t="s">
        <v>2638</v>
      </c>
      <c r="I1062" s="19"/>
      <c r="J1062" s="18"/>
    </row>
    <row r="1063" customFormat="false" ht="15" hidden="false" customHeight="false" outlineLevel="0" collapsed="false">
      <c r="A1063" s="18" t="s">
        <v>2076</v>
      </c>
      <c r="B1063" s="18" t="s">
        <v>63</v>
      </c>
      <c r="C1063" s="18" t="s">
        <v>2047</v>
      </c>
      <c r="D1063" s="18" t="s">
        <v>175</v>
      </c>
      <c r="E1063" s="19" t="s">
        <v>2077</v>
      </c>
      <c r="F1063" s="18" t="s">
        <v>2624</v>
      </c>
      <c r="G1063" s="18" t="n">
        <v>1</v>
      </c>
      <c r="H1063" s="18" t="s">
        <v>2625</v>
      </c>
      <c r="I1063" s="19"/>
      <c r="J1063" s="18"/>
    </row>
    <row r="1064" customFormat="false" ht="15" hidden="false" customHeight="false" outlineLevel="0" collapsed="false">
      <c r="A1064" s="18" t="s">
        <v>2078</v>
      </c>
      <c r="B1064" s="18" t="s">
        <v>63</v>
      </c>
      <c r="C1064" s="18" t="s">
        <v>2047</v>
      </c>
      <c r="D1064" s="18" t="s">
        <v>84</v>
      </c>
      <c r="E1064" s="19" t="s">
        <v>2079</v>
      </c>
      <c r="F1064" s="18" t="s">
        <v>2630</v>
      </c>
      <c r="G1064" s="18" t="n">
        <v>0.67</v>
      </c>
      <c r="H1064" s="18" t="s">
        <v>2626</v>
      </c>
      <c r="I1064" s="19"/>
      <c r="J1064" s="18"/>
    </row>
    <row r="1065" customFormat="false" ht="15" hidden="false" customHeight="false" outlineLevel="0" collapsed="false">
      <c r="A1065" s="18" t="s">
        <v>2080</v>
      </c>
      <c r="B1065" s="18" t="s">
        <v>63</v>
      </c>
      <c r="C1065" s="18" t="s">
        <v>2047</v>
      </c>
      <c r="D1065" s="18" t="s">
        <v>175</v>
      </c>
      <c r="E1065" s="19" t="s">
        <v>246</v>
      </c>
      <c r="F1065" s="18" t="s">
        <v>2624</v>
      </c>
      <c r="G1065" s="18" t="n">
        <v>1</v>
      </c>
      <c r="H1065" s="18" t="s">
        <v>2625</v>
      </c>
      <c r="I1065" s="19"/>
      <c r="J1065" s="18"/>
    </row>
    <row r="1066" customFormat="false" ht="22.35" hidden="false" customHeight="false" outlineLevel="0" collapsed="false">
      <c r="A1066" s="18" t="s">
        <v>2081</v>
      </c>
      <c r="B1066" s="18" t="s">
        <v>63</v>
      </c>
      <c r="C1066" s="18" t="s">
        <v>2047</v>
      </c>
      <c r="D1066" s="18" t="s">
        <v>175</v>
      </c>
      <c r="E1066" s="19" t="s">
        <v>248</v>
      </c>
      <c r="F1066" s="18" t="s">
        <v>2624</v>
      </c>
      <c r="G1066" s="18" t="n">
        <v>1</v>
      </c>
      <c r="H1066" s="18" t="s">
        <v>2625</v>
      </c>
      <c r="I1066" s="19"/>
      <c r="J1066" s="18"/>
    </row>
    <row r="1067" customFormat="false" ht="22.35" hidden="false" customHeight="false" outlineLevel="0" collapsed="false">
      <c r="A1067" s="18" t="s">
        <v>2082</v>
      </c>
      <c r="B1067" s="18" t="s">
        <v>63</v>
      </c>
      <c r="C1067" s="18" t="s">
        <v>2047</v>
      </c>
      <c r="D1067" s="18" t="s">
        <v>175</v>
      </c>
      <c r="E1067" s="19" t="s">
        <v>2083</v>
      </c>
      <c r="F1067" s="18" t="s">
        <v>2624</v>
      </c>
      <c r="G1067" s="18" t="n">
        <v>1</v>
      </c>
      <c r="H1067" s="18" t="s">
        <v>2625</v>
      </c>
      <c r="I1067" s="19"/>
      <c r="J1067" s="18"/>
    </row>
    <row r="1068" customFormat="false" ht="22.35" hidden="false" customHeight="false" outlineLevel="0" collapsed="false">
      <c r="A1068" s="18" t="s">
        <v>2084</v>
      </c>
      <c r="B1068" s="18" t="s">
        <v>63</v>
      </c>
      <c r="C1068" s="18" t="s">
        <v>2047</v>
      </c>
      <c r="D1068" s="18" t="s">
        <v>175</v>
      </c>
      <c r="E1068" s="19" t="s">
        <v>252</v>
      </c>
      <c r="F1068" s="18" t="s">
        <v>2624</v>
      </c>
      <c r="G1068" s="18" t="n">
        <v>1</v>
      </c>
      <c r="H1068" s="18" t="s">
        <v>2625</v>
      </c>
      <c r="I1068" s="19"/>
      <c r="J1068" s="18"/>
    </row>
    <row r="1069" customFormat="false" ht="32.8" hidden="false" customHeight="false" outlineLevel="0" collapsed="false">
      <c r="A1069" s="18" t="s">
        <v>2085</v>
      </c>
      <c r="B1069" s="18" t="s">
        <v>63</v>
      </c>
      <c r="C1069" s="18" t="s">
        <v>2047</v>
      </c>
      <c r="D1069" s="18" t="s">
        <v>164</v>
      </c>
      <c r="E1069" s="19" t="s">
        <v>2086</v>
      </c>
      <c r="F1069" s="18" t="s">
        <v>2624</v>
      </c>
      <c r="G1069" s="18" t="n">
        <v>1</v>
      </c>
      <c r="H1069" s="18" t="s">
        <v>2625</v>
      </c>
      <c r="I1069" s="19"/>
      <c r="J1069" s="18"/>
    </row>
    <row r="1070" customFormat="false" ht="15" hidden="false" customHeight="false" outlineLevel="0" collapsed="false">
      <c r="A1070" s="18" t="s">
        <v>2087</v>
      </c>
      <c r="B1070" s="18" t="s">
        <v>63</v>
      </c>
      <c r="C1070" s="18" t="s">
        <v>2047</v>
      </c>
      <c r="D1070" s="18" t="s">
        <v>158</v>
      </c>
      <c r="E1070" s="19" t="s">
        <v>2088</v>
      </c>
      <c r="F1070" s="18" t="s">
        <v>2624</v>
      </c>
      <c r="G1070" s="18" t="n">
        <v>1</v>
      </c>
      <c r="H1070" s="18" t="s">
        <v>2625</v>
      </c>
      <c r="I1070" s="19"/>
      <c r="J1070" s="18"/>
    </row>
    <row r="1071" customFormat="false" ht="22.35" hidden="false" customHeight="false" outlineLevel="0" collapsed="false">
      <c r="A1071" s="18" t="s">
        <v>2089</v>
      </c>
      <c r="B1071" s="18" t="s">
        <v>63</v>
      </c>
      <c r="C1071" s="18" t="s">
        <v>2047</v>
      </c>
      <c r="D1071" s="18" t="s">
        <v>164</v>
      </c>
      <c r="E1071" s="19" t="s">
        <v>2090</v>
      </c>
      <c r="F1071" s="18" t="s">
        <v>2624</v>
      </c>
      <c r="G1071" s="18" t="n">
        <v>1</v>
      </c>
      <c r="H1071" s="18" t="s">
        <v>2625</v>
      </c>
      <c r="I1071" s="19"/>
      <c r="J1071" s="18"/>
    </row>
    <row r="1072" customFormat="false" ht="22.35" hidden="false" customHeight="false" outlineLevel="0" collapsed="false">
      <c r="A1072" s="18" t="s">
        <v>2091</v>
      </c>
      <c r="B1072" s="18" t="s">
        <v>63</v>
      </c>
      <c r="C1072" s="18" t="s">
        <v>2047</v>
      </c>
      <c r="D1072" s="18" t="s">
        <v>164</v>
      </c>
      <c r="E1072" s="19" t="s">
        <v>2092</v>
      </c>
      <c r="F1072" s="18" t="s">
        <v>2624</v>
      </c>
      <c r="G1072" s="18" t="n">
        <v>1</v>
      </c>
      <c r="H1072" s="18" t="s">
        <v>2625</v>
      </c>
      <c r="I1072" s="19"/>
      <c r="J1072" s="18"/>
    </row>
    <row r="1073" customFormat="false" ht="15" hidden="false" customHeight="false" outlineLevel="0" collapsed="false">
      <c r="A1073" s="18" t="s">
        <v>2093</v>
      </c>
      <c r="B1073" s="18" t="s">
        <v>63</v>
      </c>
      <c r="C1073" s="18" t="s">
        <v>2047</v>
      </c>
      <c r="D1073" s="18" t="s">
        <v>164</v>
      </c>
      <c r="E1073" s="19" t="s">
        <v>2094</v>
      </c>
      <c r="F1073" s="18" t="s">
        <v>2624</v>
      </c>
      <c r="G1073" s="18" t="n">
        <v>1</v>
      </c>
      <c r="H1073" s="18" t="s">
        <v>2638</v>
      </c>
      <c r="I1073" s="19"/>
      <c r="J1073" s="18"/>
    </row>
    <row r="1074" customFormat="false" ht="15" hidden="false" customHeight="false" outlineLevel="0" collapsed="false">
      <c r="A1074" s="18" t="s">
        <v>2095</v>
      </c>
      <c r="B1074" s="18" t="s">
        <v>63</v>
      </c>
      <c r="C1074" s="18" t="s">
        <v>2047</v>
      </c>
      <c r="D1074" s="18" t="s">
        <v>164</v>
      </c>
      <c r="E1074" s="19" t="s">
        <v>2096</v>
      </c>
      <c r="F1074" s="18" t="s">
        <v>2624</v>
      </c>
      <c r="G1074" s="18" t="n">
        <v>1</v>
      </c>
      <c r="H1074" s="18" t="s">
        <v>2638</v>
      </c>
      <c r="I1074" s="19"/>
      <c r="J1074" s="18"/>
    </row>
    <row r="1075" customFormat="false" ht="15" hidden="false" customHeight="false" outlineLevel="0" collapsed="false">
      <c r="A1075" s="18" t="s">
        <v>2097</v>
      </c>
      <c r="B1075" s="18" t="s">
        <v>63</v>
      </c>
      <c r="C1075" s="18" t="s">
        <v>2047</v>
      </c>
      <c r="D1075" s="18" t="s">
        <v>164</v>
      </c>
      <c r="E1075" s="19" t="s">
        <v>2098</v>
      </c>
      <c r="F1075" s="18" t="s">
        <v>2624</v>
      </c>
      <c r="G1075" s="18" t="n">
        <v>1</v>
      </c>
      <c r="H1075" s="18" t="s">
        <v>2638</v>
      </c>
      <c r="I1075" s="19"/>
      <c r="J1075" s="18"/>
    </row>
    <row r="1076" customFormat="false" ht="22.35" hidden="false" customHeight="false" outlineLevel="0" collapsed="false">
      <c r="A1076" s="18" t="s">
        <v>2099</v>
      </c>
      <c r="B1076" s="18" t="s">
        <v>63</v>
      </c>
      <c r="C1076" s="18" t="s">
        <v>2047</v>
      </c>
      <c r="D1076" s="18" t="s">
        <v>164</v>
      </c>
      <c r="E1076" s="19" t="s">
        <v>2100</v>
      </c>
      <c r="F1076" s="18" t="s">
        <v>2624</v>
      </c>
      <c r="G1076" s="18" t="n">
        <v>1</v>
      </c>
      <c r="H1076" s="18" t="s">
        <v>2625</v>
      </c>
      <c r="I1076" s="19"/>
      <c r="J1076" s="18"/>
    </row>
    <row r="1077" customFormat="false" ht="15" hidden="false" customHeight="false" outlineLevel="0" collapsed="false">
      <c r="A1077" s="18" t="s">
        <v>2101</v>
      </c>
      <c r="B1077" s="18" t="s">
        <v>63</v>
      </c>
      <c r="C1077" s="18" t="s">
        <v>2047</v>
      </c>
      <c r="D1077" s="18" t="s">
        <v>158</v>
      </c>
      <c r="E1077" s="19" t="s">
        <v>2102</v>
      </c>
      <c r="F1077" s="18" t="s">
        <v>2624</v>
      </c>
      <c r="G1077" s="18" t="n">
        <v>1</v>
      </c>
      <c r="H1077" s="18" t="s">
        <v>2638</v>
      </c>
      <c r="I1077" s="19"/>
      <c r="J1077" s="18"/>
    </row>
    <row r="1078" customFormat="false" ht="15" hidden="false" customHeight="false" outlineLevel="0" collapsed="false">
      <c r="A1078" s="18" t="s">
        <v>2103</v>
      </c>
      <c r="B1078" s="18" t="s">
        <v>63</v>
      </c>
      <c r="C1078" s="18" t="s">
        <v>2047</v>
      </c>
      <c r="D1078" s="18" t="s">
        <v>164</v>
      </c>
      <c r="E1078" s="19" t="s">
        <v>2104</v>
      </c>
      <c r="F1078" s="18" t="s">
        <v>2624</v>
      </c>
      <c r="G1078" s="18" t="n">
        <v>1</v>
      </c>
      <c r="H1078" s="18" t="s">
        <v>2638</v>
      </c>
      <c r="I1078" s="19"/>
      <c r="J1078" s="18"/>
    </row>
    <row r="1079" customFormat="false" ht="22.35" hidden="false" customHeight="false" outlineLevel="0" collapsed="false">
      <c r="A1079" s="18" t="s">
        <v>2105</v>
      </c>
      <c r="B1079" s="18" t="s">
        <v>63</v>
      </c>
      <c r="C1079" s="18" t="s">
        <v>2047</v>
      </c>
      <c r="D1079" s="18" t="s">
        <v>84</v>
      </c>
      <c r="E1079" s="19" t="s">
        <v>2106</v>
      </c>
      <c r="F1079" s="18" t="s">
        <v>2631</v>
      </c>
      <c r="G1079" s="18" t="n">
        <v>0.25</v>
      </c>
      <c r="H1079" s="18"/>
      <c r="I1079" s="19" t="s">
        <v>2646</v>
      </c>
      <c r="J1079" s="18"/>
    </row>
    <row r="1080" customFormat="false" ht="15" hidden="false" customHeight="false" outlineLevel="0" collapsed="false">
      <c r="A1080" s="18" t="s">
        <v>2107</v>
      </c>
      <c r="B1080" s="18" t="s">
        <v>63</v>
      </c>
      <c r="C1080" s="18" t="s">
        <v>2047</v>
      </c>
      <c r="D1080" s="18" t="s">
        <v>164</v>
      </c>
      <c r="E1080" s="19" t="s">
        <v>2108</v>
      </c>
      <c r="F1080" s="18" t="s">
        <v>2624</v>
      </c>
      <c r="G1080" s="18" t="n">
        <v>1</v>
      </c>
      <c r="H1080" s="18" t="s">
        <v>2638</v>
      </c>
      <c r="I1080" s="19"/>
      <c r="J1080" s="18"/>
    </row>
    <row r="1081" customFormat="false" ht="15" hidden="false" customHeight="false" outlineLevel="0" collapsed="false">
      <c r="A1081" s="18" t="s">
        <v>2109</v>
      </c>
      <c r="B1081" s="18" t="s">
        <v>63</v>
      </c>
      <c r="C1081" s="18" t="s">
        <v>2047</v>
      </c>
      <c r="D1081" s="18" t="s">
        <v>164</v>
      </c>
      <c r="E1081" s="19" t="s">
        <v>2110</v>
      </c>
      <c r="F1081" s="18" t="s">
        <v>2624</v>
      </c>
      <c r="G1081" s="18" t="n">
        <v>1</v>
      </c>
      <c r="H1081" s="18" t="s">
        <v>2638</v>
      </c>
      <c r="I1081" s="19"/>
      <c r="J1081" s="18"/>
    </row>
    <row r="1082" customFormat="false" ht="22.35" hidden="false" customHeight="false" outlineLevel="0" collapsed="false">
      <c r="A1082" s="18" t="s">
        <v>2111</v>
      </c>
      <c r="B1082" s="18" t="s">
        <v>63</v>
      </c>
      <c r="C1082" s="18" t="s">
        <v>2047</v>
      </c>
      <c r="D1082" s="18" t="s">
        <v>164</v>
      </c>
      <c r="E1082" s="19" t="s">
        <v>2112</v>
      </c>
      <c r="F1082" s="18" t="s">
        <v>2631</v>
      </c>
      <c r="G1082" s="18" t="n">
        <v>0.36</v>
      </c>
      <c r="H1082" s="18" t="s">
        <v>2625</v>
      </c>
      <c r="I1082" s="19" t="s">
        <v>2646</v>
      </c>
      <c r="J1082" s="18"/>
    </row>
    <row r="1083" customFormat="false" ht="22.35" hidden="false" customHeight="false" outlineLevel="0" collapsed="false">
      <c r="A1083" s="18" t="s">
        <v>2113</v>
      </c>
      <c r="B1083" s="18" t="s">
        <v>63</v>
      </c>
      <c r="C1083" s="18" t="s">
        <v>2047</v>
      </c>
      <c r="D1083" s="18" t="s">
        <v>164</v>
      </c>
      <c r="E1083" s="19" t="s">
        <v>2114</v>
      </c>
      <c r="F1083" s="18" t="s">
        <v>2624</v>
      </c>
      <c r="G1083" s="18" t="n">
        <v>1</v>
      </c>
      <c r="H1083" s="18" t="s">
        <v>2625</v>
      </c>
      <c r="I1083" s="19"/>
      <c r="J1083" s="18"/>
    </row>
  </sheetData>
  <autoFilter ref="A4:J1083"/>
  <conditionalFormatting sqref="F5:F1083">
    <cfRule type="expression" priority="2" aboveAverage="0" equalAverage="0" bottom="0" percent="0" rank="0" text="" dxfId="19">
      <formula>ISNUMBER(SEARCH("Non retrouvé",F5))</formula>
    </cfRule>
    <cfRule type="expression" priority="3" aboveAverage="0" equalAverage="0" bottom="0" percent="0" rank="0" text="" dxfId="20">
      <formula>ISNUMBER(SEARCH("à vérifier",F5))</formula>
    </cfRule>
    <cfRule type="expression" priority="4" aboveAverage="0" equalAverage="0" bottom="0" percent="0" rank="0" text="" dxfId="21">
      <formula>ISNUMBER(SEARCH("arbitré",F5))</formula>
    </cfRule>
    <cfRule type="expression" priority="5" aboveAverage="0" equalAverage="0" bottom="0" percent="0" rank="0" text="" dxfId="21">
      <formula>ISNUMBER(SEARCH("obligatoire",F5))</formula>
    </cfRule>
    <cfRule type="expression" priority="6" aboveAverage="0" equalAverage="0" bottom="0" percent="0" rank="0" text="" dxfId="22">
      <formula>ISNUMBER(SEARCH("Conservé",F5))</formula>
    </cfRule>
    <cfRule type="expression" priority="7" aboveAverage="0" equalAverage="0" bottom="0" percent="0" rank="0" text="" dxfId="23">
      <formula>ISNUMBER(SEARCH("Non affiché",F5))</formula>
    </cfRule>
    <cfRule type="expression" priority="8" aboveAverage="0" equalAverage="0" bottom="0" percent="0" rank="0" text="" dxfId="23">
      <formula>ISNUMBER(SEARCH("fusionnée",F5))</formula>
    </cfRule>
  </conditionalFormatting>
  <dataValidations count="1">
    <dataValidation allowBlank="true" errorStyle="stop" operator="between" showDropDown="false" showErrorMessage="false" showInputMessage="false" sqref="J5:J1083" type="list">
      <formula1>"Validé,À corriger,À réintégrer,Accepté (arbitrage)"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2" min="2" style="1" width="14"/>
  </cols>
  <sheetData>
    <row r="1" customFormat="false" ht="16.15" hidden="false" customHeight="false" outlineLevel="0" collapsed="false">
      <c r="A1" s="15" t="s">
        <v>2672</v>
      </c>
    </row>
    <row r="2" customFormat="false" ht="15" hidden="false" customHeight="false" outlineLevel="0" collapsed="false">
      <c r="A2" s="16" t="s">
        <v>2673</v>
      </c>
    </row>
    <row r="4" customFormat="false" ht="60" hidden="false" customHeight="true" outlineLevel="0" collapsed="false">
      <c r="A4" s="17" t="s">
        <v>74</v>
      </c>
      <c r="B4" s="17" t="s">
        <v>2624</v>
      </c>
      <c r="C4" s="17" t="s">
        <v>2630</v>
      </c>
      <c r="D4" s="17" t="s">
        <v>2674</v>
      </c>
      <c r="E4" s="17" t="s">
        <v>2631</v>
      </c>
      <c r="F4" s="17" t="s">
        <v>2648</v>
      </c>
      <c r="G4" s="17" t="s">
        <v>2675</v>
      </c>
      <c r="H4" s="17" t="s">
        <v>2627</v>
      </c>
      <c r="I4" s="17" t="s">
        <v>2636</v>
      </c>
      <c r="J4" s="17" t="s">
        <v>2676</v>
      </c>
      <c r="K4" s="17" t="s">
        <v>2677</v>
      </c>
      <c r="L4" s="17" t="s">
        <v>2678</v>
      </c>
    </row>
    <row r="5" customFormat="false" ht="15" hidden="false" customHeight="false" outlineLevel="0" collapsed="false">
      <c r="A5" s="20" t="s">
        <v>83</v>
      </c>
      <c r="B5" s="20" t="n">
        <f aca="false">COUNTIFS('6_Couverture UX18I-N'!$C$5:$C$1083,$A5,'6_Couverture UX18I-N'!$F$5:$F$1083,"Conservé au mot près")</f>
        <v>33</v>
      </c>
      <c r="C5" s="20" t="n">
        <f aca="false">COUNTIFS('6_Couverture UX18I-N'!$C$5:$C$1083,$A5,'6_Couverture UX18I-N'!$F$5:$F$1083,"Conservé avec adaptation")</f>
        <v>2</v>
      </c>
      <c r="D5" s="20" t="n">
        <f aca="false">COUNTIFS('6_Couverture UX18I-N'!$C$5:$C$1083,$A5,'6_Couverture UX18I-N'!$F$5:$F$1083,"Condensé / transformé — à vérifier")</f>
        <v>0</v>
      </c>
      <c r="E5" s="20" t="n">
        <f aca="false">COUNTIFS('6_Couverture UX18I-N'!$C$5:$C$1083,$A5,'6_Couverture UX18I-N'!$F$5:$F$1083,"Modifié / arbitré (CDC)")</f>
        <v>1</v>
      </c>
      <c r="F5" s="20" t="n">
        <f aca="false">COUNTIFS('6_Couverture UX18I-N'!$C$5:$C$1083,$A5,'6_Couverture UX18I-N'!$F$5:$F$1083,"Adaptation obligatoire (CDC)")</f>
        <v>0</v>
      </c>
      <c r="G5" s="20" t="n">
        <f aca="false">COUNTIFS('6_Couverture UX18I-N'!$C$5:$C$1083,$A5,'6_Couverture UX18I-N'!$F$5:$F$1083,"Non retrouvé — à réintégrer")</f>
        <v>0</v>
      </c>
      <c r="H5" s="20" t="n">
        <f aca="false">COUNTIFS('6_Couverture UX18I-N'!$C$5:$C$1083,$A5,'6_Couverture UX18I-N'!$F$5:$F$1083,"Non affiché — conception")</f>
        <v>26</v>
      </c>
      <c r="I5" s="20" t="n">
        <f aca="false">COUNTIFS('6_Couverture UX18I-N'!$C$5:$C$1083,$A5,'6_Couverture UX18I-N'!$F$5:$F$1083,"Structure fusionnée")</f>
        <v>0</v>
      </c>
      <c r="J5" s="21" t="n">
        <f aca="false">SUM(B5:G5)</f>
        <v>36</v>
      </c>
      <c r="K5" s="22" t="n">
        <f aca="false">IF(J5=0,"",(J5-G5)/J5)</f>
        <v>1</v>
      </c>
      <c r="L5" s="22" t="n">
        <f aca="false">IF(J5=0,"",(B5+C5)/J5)</f>
        <v>0.972222222222222</v>
      </c>
    </row>
    <row r="6" customFormat="false" ht="15" hidden="false" customHeight="false" outlineLevel="0" collapsed="false">
      <c r="A6" s="20" t="s">
        <v>126</v>
      </c>
      <c r="B6" s="20" t="n">
        <f aca="false">COUNTIFS('6_Couverture UX18I-N'!$C$5:$C$1083,$A6,'6_Couverture UX18I-N'!$F$5:$F$1083,"Conservé au mot près")</f>
        <v>13</v>
      </c>
      <c r="C6" s="20" t="n">
        <f aca="false">COUNTIFS('6_Couverture UX18I-N'!$C$5:$C$1083,$A6,'6_Couverture UX18I-N'!$F$5:$F$1083,"Conservé avec adaptation")</f>
        <v>0</v>
      </c>
      <c r="D6" s="20" t="n">
        <f aca="false">COUNTIFS('6_Couverture UX18I-N'!$C$5:$C$1083,$A6,'6_Couverture UX18I-N'!$F$5:$F$1083,"Condensé / transformé — à vérifier")</f>
        <v>0</v>
      </c>
      <c r="E6" s="20" t="n">
        <f aca="false">COUNTIFS('6_Couverture UX18I-N'!$C$5:$C$1083,$A6,'6_Couverture UX18I-N'!$F$5:$F$1083,"Modifié / arbitré (CDC)")</f>
        <v>0</v>
      </c>
      <c r="F6" s="20" t="n">
        <f aca="false">COUNTIFS('6_Couverture UX18I-N'!$C$5:$C$1083,$A6,'6_Couverture UX18I-N'!$F$5:$F$1083,"Adaptation obligatoire (CDC)")</f>
        <v>0</v>
      </c>
      <c r="G6" s="20" t="n">
        <f aca="false">COUNTIFS('6_Couverture UX18I-N'!$C$5:$C$1083,$A6,'6_Couverture UX18I-N'!$F$5:$F$1083,"Non retrouvé — à réintégrer")</f>
        <v>0</v>
      </c>
      <c r="H6" s="20" t="n">
        <f aca="false">COUNTIFS('6_Couverture UX18I-N'!$C$5:$C$1083,$A6,'6_Couverture UX18I-N'!$F$5:$F$1083,"Non affiché — conception")</f>
        <v>2</v>
      </c>
      <c r="I6" s="20" t="n">
        <f aca="false">COUNTIFS('6_Couverture UX18I-N'!$C$5:$C$1083,$A6,'6_Couverture UX18I-N'!$F$5:$F$1083,"Structure fusionnée")</f>
        <v>0</v>
      </c>
      <c r="J6" s="21" t="n">
        <f aca="false">SUM(B6:G6)</f>
        <v>13</v>
      </c>
      <c r="K6" s="22" t="n">
        <f aca="false">IF(J6=0,"",(J6-G6)/J6)</f>
        <v>1</v>
      </c>
      <c r="L6" s="22" t="n">
        <f aca="false">IF(J6=0,"",(B6+C6)/J6)</f>
        <v>1</v>
      </c>
    </row>
    <row r="7" customFormat="false" ht="15" hidden="false" customHeight="false" outlineLevel="0" collapsed="false">
      <c r="A7" s="20" t="s">
        <v>259</v>
      </c>
      <c r="B7" s="20" t="n">
        <f aca="false">COUNTIFS('6_Couverture UX18I-N'!$C$5:$C$1083,$A7,'6_Couverture UX18I-N'!$F$5:$F$1083,"Conservé au mot près")</f>
        <v>153</v>
      </c>
      <c r="C7" s="20" t="n">
        <f aca="false">COUNTIFS('6_Couverture UX18I-N'!$C$5:$C$1083,$A7,'6_Couverture UX18I-N'!$F$5:$F$1083,"Conservé avec adaptation")</f>
        <v>11</v>
      </c>
      <c r="D7" s="20" t="n">
        <f aca="false">COUNTIFS('6_Couverture UX18I-N'!$C$5:$C$1083,$A7,'6_Couverture UX18I-N'!$F$5:$F$1083,"Condensé / transformé — à vérifier")</f>
        <v>0</v>
      </c>
      <c r="E7" s="20" t="n">
        <f aca="false">COUNTIFS('6_Couverture UX18I-N'!$C$5:$C$1083,$A7,'6_Couverture UX18I-N'!$F$5:$F$1083,"Modifié / arbitré (CDC)")</f>
        <v>32</v>
      </c>
      <c r="F7" s="20" t="n">
        <f aca="false">COUNTIFS('6_Couverture UX18I-N'!$C$5:$C$1083,$A7,'6_Couverture UX18I-N'!$F$5:$F$1083,"Adaptation obligatoire (CDC)")</f>
        <v>11</v>
      </c>
      <c r="G7" s="20" t="n">
        <f aca="false">COUNTIFS('6_Couverture UX18I-N'!$C$5:$C$1083,$A7,'6_Couverture UX18I-N'!$F$5:$F$1083,"Non retrouvé — à réintégrer")</f>
        <v>0</v>
      </c>
      <c r="H7" s="20" t="n">
        <f aca="false">COUNTIFS('6_Couverture UX18I-N'!$C$5:$C$1083,$A7,'6_Couverture UX18I-N'!$F$5:$F$1083,"Non affiché — conception")</f>
        <v>50</v>
      </c>
      <c r="I7" s="20" t="n">
        <f aca="false">COUNTIFS('6_Couverture UX18I-N'!$C$5:$C$1083,$A7,'6_Couverture UX18I-N'!$F$5:$F$1083,"Structure fusionnée")</f>
        <v>5</v>
      </c>
      <c r="J7" s="21" t="n">
        <f aca="false">SUM(B7:G7)</f>
        <v>207</v>
      </c>
      <c r="K7" s="22" t="n">
        <f aca="false">IF(J7=0,"",(J7-G7)/J7)</f>
        <v>1</v>
      </c>
      <c r="L7" s="22" t="n">
        <f aca="false">IF(J7=0,"",(B7+C7)/J7)</f>
        <v>0.792270531400966</v>
      </c>
    </row>
    <row r="8" customFormat="false" ht="15" hidden="false" customHeight="false" outlineLevel="0" collapsed="false">
      <c r="A8" s="20" t="s">
        <v>508</v>
      </c>
      <c r="B8" s="20" t="n">
        <f aca="false">COUNTIFS('6_Couverture UX18I-N'!$C$5:$C$1083,$A8,'6_Couverture UX18I-N'!$F$5:$F$1083,"Conservé au mot près")</f>
        <v>65</v>
      </c>
      <c r="C8" s="20" t="n">
        <f aca="false">COUNTIFS('6_Couverture UX18I-N'!$C$5:$C$1083,$A8,'6_Couverture UX18I-N'!$F$5:$F$1083,"Conservé avec adaptation")</f>
        <v>4</v>
      </c>
      <c r="D8" s="20" t="n">
        <f aca="false">COUNTIFS('6_Couverture UX18I-N'!$C$5:$C$1083,$A8,'6_Couverture UX18I-N'!$F$5:$F$1083,"Condensé / transformé — à vérifier")</f>
        <v>0</v>
      </c>
      <c r="E8" s="20" t="n">
        <f aca="false">COUNTIFS('6_Couverture UX18I-N'!$C$5:$C$1083,$A8,'6_Couverture UX18I-N'!$F$5:$F$1083,"Modifié / arbitré (CDC)")</f>
        <v>12</v>
      </c>
      <c r="F8" s="20" t="n">
        <f aca="false">COUNTIFS('6_Couverture UX18I-N'!$C$5:$C$1083,$A8,'6_Couverture UX18I-N'!$F$5:$F$1083,"Adaptation obligatoire (CDC)")</f>
        <v>2</v>
      </c>
      <c r="G8" s="20" t="n">
        <f aca="false">COUNTIFS('6_Couverture UX18I-N'!$C$5:$C$1083,$A8,'6_Couverture UX18I-N'!$F$5:$F$1083,"Non retrouvé — à réintégrer")</f>
        <v>0</v>
      </c>
      <c r="H8" s="20" t="n">
        <f aca="false">COUNTIFS('6_Couverture UX18I-N'!$C$5:$C$1083,$A8,'6_Couverture UX18I-N'!$F$5:$F$1083,"Non affiché — conception")</f>
        <v>33</v>
      </c>
      <c r="I8" s="20" t="n">
        <f aca="false">COUNTIFS('6_Couverture UX18I-N'!$C$5:$C$1083,$A8,'6_Couverture UX18I-N'!$F$5:$F$1083,"Structure fusionnée")</f>
        <v>5</v>
      </c>
      <c r="J8" s="21" t="n">
        <f aca="false">SUM(B8:G8)</f>
        <v>83</v>
      </c>
      <c r="K8" s="22" t="n">
        <f aca="false">IF(J8=0,"",(J8-G8)/J8)</f>
        <v>1</v>
      </c>
      <c r="L8" s="22" t="n">
        <f aca="false">IF(J8=0,"",(B8+C8)/J8)</f>
        <v>0.831325301204819</v>
      </c>
    </row>
    <row r="9" customFormat="false" ht="15" hidden="false" customHeight="false" outlineLevel="0" collapsed="false">
      <c r="A9" s="20" t="s">
        <v>731</v>
      </c>
      <c r="B9" s="20" t="n">
        <f aca="false">COUNTIFS('6_Couverture UX18I-N'!$C$5:$C$1083,$A9,'6_Couverture UX18I-N'!$F$5:$F$1083,"Conservé au mot près")</f>
        <v>87</v>
      </c>
      <c r="C9" s="20" t="n">
        <f aca="false">COUNTIFS('6_Couverture UX18I-N'!$C$5:$C$1083,$A9,'6_Couverture UX18I-N'!$F$5:$F$1083,"Conservé avec adaptation")</f>
        <v>3</v>
      </c>
      <c r="D9" s="20" t="n">
        <f aca="false">COUNTIFS('6_Couverture UX18I-N'!$C$5:$C$1083,$A9,'6_Couverture UX18I-N'!$F$5:$F$1083,"Condensé / transformé — à vérifier")</f>
        <v>0</v>
      </c>
      <c r="E9" s="20" t="n">
        <f aca="false">COUNTIFS('6_Couverture UX18I-N'!$C$5:$C$1083,$A9,'6_Couverture UX18I-N'!$F$5:$F$1083,"Modifié / arbitré (CDC)")</f>
        <v>15</v>
      </c>
      <c r="F9" s="20" t="n">
        <f aca="false">COUNTIFS('6_Couverture UX18I-N'!$C$5:$C$1083,$A9,'6_Couverture UX18I-N'!$F$5:$F$1083,"Adaptation obligatoire (CDC)")</f>
        <v>2</v>
      </c>
      <c r="G9" s="20" t="n">
        <f aca="false">COUNTIFS('6_Couverture UX18I-N'!$C$5:$C$1083,$A9,'6_Couverture UX18I-N'!$F$5:$F$1083,"Non retrouvé — à réintégrer")</f>
        <v>0</v>
      </c>
      <c r="H9" s="20" t="n">
        <f aca="false">COUNTIFS('6_Couverture UX18I-N'!$C$5:$C$1083,$A9,'6_Couverture UX18I-N'!$F$5:$F$1083,"Non affiché — conception")</f>
        <v>33</v>
      </c>
      <c r="I9" s="20" t="n">
        <f aca="false">COUNTIFS('6_Couverture UX18I-N'!$C$5:$C$1083,$A9,'6_Couverture UX18I-N'!$F$5:$F$1083,"Structure fusionnée")</f>
        <v>1</v>
      </c>
      <c r="J9" s="21" t="n">
        <f aca="false">SUM(B9:G9)</f>
        <v>107</v>
      </c>
      <c r="K9" s="22" t="n">
        <f aca="false">IF(J9=0,"",(J9-G9)/J9)</f>
        <v>1</v>
      </c>
      <c r="L9" s="22" t="n">
        <f aca="false">IF(J9=0,"",(B9+C9)/J9)</f>
        <v>0.841121495327103</v>
      </c>
    </row>
    <row r="10" customFormat="false" ht="15" hidden="false" customHeight="false" outlineLevel="0" collapsed="false">
      <c r="A10" s="20" t="s">
        <v>942</v>
      </c>
      <c r="B10" s="20" t="n">
        <f aca="false">COUNTIFS('6_Couverture UX18I-N'!$C$5:$C$1083,$A10,'6_Couverture UX18I-N'!$F$5:$F$1083,"Conservé au mot près")</f>
        <v>111</v>
      </c>
      <c r="C10" s="20" t="n">
        <f aca="false">COUNTIFS('6_Couverture UX18I-N'!$C$5:$C$1083,$A10,'6_Couverture UX18I-N'!$F$5:$F$1083,"Conservé avec adaptation")</f>
        <v>8</v>
      </c>
      <c r="D10" s="20" t="n">
        <f aca="false">COUNTIFS('6_Couverture UX18I-N'!$C$5:$C$1083,$A10,'6_Couverture UX18I-N'!$F$5:$F$1083,"Condensé / transformé — à vérifier")</f>
        <v>0</v>
      </c>
      <c r="E10" s="20" t="n">
        <f aca="false">COUNTIFS('6_Couverture UX18I-N'!$C$5:$C$1083,$A10,'6_Couverture UX18I-N'!$F$5:$F$1083,"Modifié / arbitré (CDC)")</f>
        <v>14</v>
      </c>
      <c r="F10" s="20" t="n">
        <f aca="false">COUNTIFS('6_Couverture UX18I-N'!$C$5:$C$1083,$A10,'6_Couverture UX18I-N'!$F$5:$F$1083,"Adaptation obligatoire (CDC)")</f>
        <v>1</v>
      </c>
      <c r="G10" s="20" t="n">
        <f aca="false">COUNTIFS('6_Couverture UX18I-N'!$C$5:$C$1083,$A10,'6_Couverture UX18I-N'!$F$5:$F$1083,"Non retrouvé — à réintégrer")</f>
        <v>0</v>
      </c>
      <c r="H10" s="20" t="n">
        <f aca="false">COUNTIFS('6_Couverture UX18I-N'!$C$5:$C$1083,$A10,'6_Couverture UX18I-N'!$F$5:$F$1083,"Non affiché — conception")</f>
        <v>37</v>
      </c>
      <c r="I10" s="20" t="n">
        <f aca="false">COUNTIFS('6_Couverture UX18I-N'!$C$5:$C$1083,$A10,'6_Couverture UX18I-N'!$F$5:$F$1083,"Structure fusionnée")</f>
        <v>1</v>
      </c>
      <c r="J10" s="21" t="n">
        <f aca="false">SUM(B10:G10)</f>
        <v>134</v>
      </c>
      <c r="K10" s="22" t="n">
        <f aca="false">IF(J10=0,"",(J10-G10)/J10)</f>
        <v>1</v>
      </c>
      <c r="L10" s="22" t="n">
        <f aca="false">IF(J10=0,"",(B10+C10)/J10)</f>
        <v>0.888059701492537</v>
      </c>
    </row>
    <row r="11" customFormat="false" ht="15" hidden="false" customHeight="false" outlineLevel="0" collapsed="false">
      <c r="A11" s="20" t="s">
        <v>1255</v>
      </c>
      <c r="B11" s="20" t="n">
        <f aca="false">COUNTIFS('6_Couverture UX18I-N'!$C$5:$C$1083,$A11,'6_Couverture UX18I-N'!$F$5:$F$1083,"Conservé au mot près")</f>
        <v>116</v>
      </c>
      <c r="C11" s="20" t="n">
        <f aca="false">COUNTIFS('6_Couverture UX18I-N'!$C$5:$C$1083,$A11,'6_Couverture UX18I-N'!$F$5:$F$1083,"Conservé avec adaptation")</f>
        <v>4</v>
      </c>
      <c r="D11" s="20" t="n">
        <f aca="false">COUNTIFS('6_Couverture UX18I-N'!$C$5:$C$1083,$A11,'6_Couverture UX18I-N'!$F$5:$F$1083,"Condensé / transformé — à vérifier")</f>
        <v>0</v>
      </c>
      <c r="E11" s="20" t="n">
        <f aca="false">COUNTIFS('6_Couverture UX18I-N'!$C$5:$C$1083,$A11,'6_Couverture UX18I-N'!$F$5:$F$1083,"Modifié / arbitré (CDC)")</f>
        <v>15</v>
      </c>
      <c r="F11" s="20" t="n">
        <f aca="false">COUNTIFS('6_Couverture UX18I-N'!$C$5:$C$1083,$A11,'6_Couverture UX18I-N'!$F$5:$F$1083,"Adaptation obligatoire (CDC)")</f>
        <v>2</v>
      </c>
      <c r="G11" s="20" t="n">
        <f aca="false">COUNTIFS('6_Couverture UX18I-N'!$C$5:$C$1083,$A11,'6_Couverture UX18I-N'!$F$5:$F$1083,"Non retrouvé — à réintégrer")</f>
        <v>0</v>
      </c>
      <c r="H11" s="20" t="n">
        <f aca="false">COUNTIFS('6_Couverture UX18I-N'!$C$5:$C$1083,$A11,'6_Couverture UX18I-N'!$F$5:$F$1083,"Non affiché — conception")</f>
        <v>57</v>
      </c>
      <c r="I11" s="20" t="n">
        <f aca="false">COUNTIFS('6_Couverture UX18I-N'!$C$5:$C$1083,$A11,'6_Couverture UX18I-N'!$F$5:$F$1083,"Structure fusionnée")</f>
        <v>1</v>
      </c>
      <c r="J11" s="21" t="n">
        <f aca="false">SUM(B11:G11)</f>
        <v>137</v>
      </c>
      <c r="K11" s="22" t="n">
        <f aca="false">IF(J11=0,"",(J11-G11)/J11)</f>
        <v>1</v>
      </c>
      <c r="L11" s="22" t="n">
        <f aca="false">IF(J11=0,"",(B11+C11)/J11)</f>
        <v>0.875912408759124</v>
      </c>
    </row>
    <row r="12" customFormat="false" ht="15" hidden="false" customHeight="false" outlineLevel="0" collapsed="false">
      <c r="A12" s="20" t="s">
        <v>1778</v>
      </c>
      <c r="B12" s="20" t="n">
        <f aca="false">COUNTIFS('6_Couverture UX18I-N'!$C$5:$C$1083,$A12,'6_Couverture UX18I-N'!$F$5:$F$1083,"Conservé au mot près")</f>
        <v>39</v>
      </c>
      <c r="C12" s="20" t="n">
        <f aca="false">COUNTIFS('6_Couverture UX18I-N'!$C$5:$C$1083,$A12,'6_Couverture UX18I-N'!$F$5:$F$1083,"Conservé avec adaptation")</f>
        <v>1</v>
      </c>
      <c r="D12" s="20" t="n">
        <f aca="false">COUNTIFS('6_Couverture UX18I-N'!$C$5:$C$1083,$A12,'6_Couverture UX18I-N'!$F$5:$F$1083,"Condensé / transformé — à vérifier")</f>
        <v>0</v>
      </c>
      <c r="E12" s="20" t="n">
        <f aca="false">COUNTIFS('6_Couverture UX18I-N'!$C$5:$C$1083,$A12,'6_Couverture UX18I-N'!$F$5:$F$1083,"Modifié / arbitré (CDC)")</f>
        <v>1</v>
      </c>
      <c r="F12" s="20" t="n">
        <f aca="false">COUNTIFS('6_Couverture UX18I-N'!$C$5:$C$1083,$A12,'6_Couverture UX18I-N'!$F$5:$F$1083,"Adaptation obligatoire (CDC)")</f>
        <v>0</v>
      </c>
      <c r="G12" s="20" t="n">
        <f aca="false">COUNTIFS('6_Couverture UX18I-N'!$C$5:$C$1083,$A12,'6_Couverture UX18I-N'!$F$5:$F$1083,"Non retrouvé — à réintégrer")</f>
        <v>0</v>
      </c>
      <c r="H12" s="20" t="n">
        <f aca="false">COUNTIFS('6_Couverture UX18I-N'!$C$5:$C$1083,$A12,'6_Couverture UX18I-N'!$F$5:$F$1083,"Non affiché — conception")</f>
        <v>31</v>
      </c>
      <c r="I12" s="20" t="n">
        <f aca="false">COUNTIFS('6_Couverture UX18I-N'!$C$5:$C$1083,$A12,'6_Couverture UX18I-N'!$F$5:$F$1083,"Structure fusionnée")</f>
        <v>3</v>
      </c>
      <c r="J12" s="21" t="n">
        <f aca="false">SUM(B12:G12)</f>
        <v>41</v>
      </c>
      <c r="K12" s="22" t="n">
        <f aca="false">IF(J12=0,"",(J12-G12)/J12)</f>
        <v>1</v>
      </c>
      <c r="L12" s="22" t="n">
        <f aca="false">IF(J12=0,"",(B12+C12)/J12)</f>
        <v>0.975609756097561</v>
      </c>
    </row>
    <row r="13" customFormat="false" ht="15" hidden="false" customHeight="false" outlineLevel="0" collapsed="false">
      <c r="A13" s="20" t="s">
        <v>2047</v>
      </c>
      <c r="B13" s="20" t="n">
        <f aca="false">COUNTIFS('6_Couverture UX18I-N'!$C$5:$C$1083,$A13,'6_Couverture UX18I-N'!$F$5:$F$1083,"Conservé au mot près")</f>
        <v>31</v>
      </c>
      <c r="C13" s="20" t="n">
        <f aca="false">COUNTIFS('6_Couverture UX18I-N'!$C$5:$C$1083,$A13,'6_Couverture UX18I-N'!$F$5:$F$1083,"Conservé avec adaptation")</f>
        <v>2</v>
      </c>
      <c r="D13" s="20" t="n">
        <f aca="false">COUNTIFS('6_Couverture UX18I-N'!$C$5:$C$1083,$A13,'6_Couverture UX18I-N'!$F$5:$F$1083,"Condensé / transformé — à vérifier")</f>
        <v>0</v>
      </c>
      <c r="E13" s="20" t="n">
        <f aca="false">COUNTIFS('6_Couverture UX18I-N'!$C$5:$C$1083,$A13,'6_Couverture UX18I-N'!$F$5:$F$1083,"Modifié / arbitré (CDC)")</f>
        <v>2</v>
      </c>
      <c r="F13" s="20" t="n">
        <f aca="false">COUNTIFS('6_Couverture UX18I-N'!$C$5:$C$1083,$A13,'6_Couverture UX18I-N'!$F$5:$F$1083,"Adaptation obligatoire (CDC)")</f>
        <v>0</v>
      </c>
      <c r="G13" s="20" t="n">
        <f aca="false">COUNTIFS('6_Couverture UX18I-N'!$C$5:$C$1083,$A13,'6_Couverture UX18I-N'!$F$5:$F$1083,"Non retrouvé — à réintégrer")</f>
        <v>0</v>
      </c>
      <c r="H13" s="20" t="n">
        <f aca="false">COUNTIFS('6_Couverture UX18I-N'!$C$5:$C$1083,$A13,'6_Couverture UX18I-N'!$F$5:$F$1083,"Non affiché — conception")</f>
        <v>0</v>
      </c>
      <c r="I13" s="20" t="n">
        <f aca="false">COUNTIFS('6_Couverture UX18I-N'!$C$5:$C$1083,$A13,'6_Couverture UX18I-N'!$F$5:$F$1083,"Structure fusionnée")</f>
        <v>1</v>
      </c>
      <c r="J13" s="21" t="n">
        <f aca="false">SUM(B13:G13)</f>
        <v>35</v>
      </c>
      <c r="K13" s="22" t="n">
        <f aca="false">IF(J13=0,"",(J13-G13)/J13)</f>
        <v>1</v>
      </c>
      <c r="L13" s="22" t="n">
        <f aca="false">IF(J13=0,"",(B13+C13)/J13)</f>
        <v>0.942857142857143</v>
      </c>
    </row>
    <row r="14" customFormat="false" ht="15" hidden="false" customHeight="false" outlineLevel="0" collapsed="false">
      <c r="A14" s="21" t="s">
        <v>2679</v>
      </c>
      <c r="B14" s="21" t="n">
        <f aca="false">SUM(B5:B13)</f>
        <v>648</v>
      </c>
      <c r="C14" s="21" t="n">
        <f aca="false">SUM(C5:C13)</f>
        <v>35</v>
      </c>
      <c r="D14" s="21" t="n">
        <f aca="false">SUM(D5:D13)</f>
        <v>0</v>
      </c>
      <c r="E14" s="21" t="n">
        <f aca="false">SUM(E5:E13)</f>
        <v>92</v>
      </c>
      <c r="F14" s="21" t="n">
        <f aca="false">SUM(F5:F13)</f>
        <v>18</v>
      </c>
      <c r="G14" s="21" t="n">
        <f aca="false">SUM(G5:G13)</f>
        <v>0</v>
      </c>
      <c r="H14" s="21" t="n">
        <f aca="false">SUM(H5:H13)</f>
        <v>269</v>
      </c>
      <c r="I14" s="21" t="n">
        <f aca="false">SUM(I5:I13)</f>
        <v>17</v>
      </c>
      <c r="J14" s="21" t="n">
        <f aca="false">SUM(B14:G14)</f>
        <v>793</v>
      </c>
      <c r="K14" s="22" t="n">
        <f aca="false">IF(J14=0,"",(J14-G14)/J14)</f>
        <v>1</v>
      </c>
      <c r="L14" s="22" t="n">
        <f aca="false">IF(J14=0,"",(B14+C14)/J14)</f>
        <v>0.861286254728878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10"/>
    <col collapsed="false" customWidth="true" hidden="false" outlineLevel="0" max="4" min="4" style="1" width="22"/>
    <col collapsed="false" customWidth="true" hidden="false" outlineLevel="0" max="5" min="5" style="1" width="90"/>
    <col collapsed="false" customWidth="true" hidden="false" outlineLevel="0" max="6" min="6" style="1" width="7"/>
    <col collapsed="false" customWidth="true" hidden="false" outlineLevel="0" max="7" min="7" style="1" width="20"/>
  </cols>
  <sheetData>
    <row r="1" customFormat="false" ht="16.15" hidden="false" customHeight="false" outlineLevel="0" collapsed="false">
      <c r="A1" s="15" t="s">
        <v>2680</v>
      </c>
    </row>
    <row r="2" customFormat="false" ht="15" hidden="false" customHeight="false" outlineLevel="0" collapsed="false">
      <c r="A2" s="16" t="s">
        <v>2681</v>
      </c>
    </row>
    <row r="4" customFormat="false" ht="35.05" hidden="false" customHeight="false" outlineLevel="0" collapsed="false">
      <c r="A4" s="17" t="s">
        <v>67</v>
      </c>
      <c r="B4" s="17" t="s">
        <v>74</v>
      </c>
      <c r="C4" s="17" t="s">
        <v>2617</v>
      </c>
      <c r="D4" s="17" t="s">
        <v>2618</v>
      </c>
      <c r="E4" s="17" t="s">
        <v>73</v>
      </c>
      <c r="F4" s="17" t="s">
        <v>2682</v>
      </c>
      <c r="G4" s="17" t="s">
        <v>2683</v>
      </c>
    </row>
    <row r="5" customFormat="false" ht="15" hidden="false" customHeight="false" outlineLevel="0" collapsed="false">
      <c r="A5" s="23" t="s">
        <v>2684</v>
      </c>
    </row>
  </sheetData>
  <autoFilter ref="A4:G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15" hidden="false" customHeight="false" outlineLevel="0" collapsed="false">
      <c r="A1" s="24" t="s">
        <v>2685</v>
      </c>
    </row>
    <row r="2" customFormat="false" ht="15" hidden="false" customHeight="false" outlineLevel="0" collapsed="false">
      <c r="A2" s="25"/>
    </row>
    <row r="3" customFormat="false" ht="23.85" hidden="false" customHeight="false" outlineLevel="0" collapsed="false">
      <c r="A3" s="25" t="s">
        <v>2686</v>
      </c>
    </row>
    <row r="4" customFormat="false" ht="23.85" hidden="false" customHeight="false" outlineLevel="0" collapsed="false">
      <c r="A4" s="25" t="s">
        <v>2687</v>
      </c>
    </row>
    <row r="5" customFormat="false" ht="23.85" hidden="false" customHeight="false" outlineLevel="0" collapsed="false">
      <c r="A5" s="25" t="s">
        <v>2688</v>
      </c>
    </row>
    <row r="6" customFormat="false" ht="15" hidden="false" customHeight="false" outlineLevel="0" collapsed="false">
      <c r="A6" s="25" t="s">
        <v>2689</v>
      </c>
    </row>
    <row r="7" customFormat="false" ht="35.05" hidden="false" customHeight="false" outlineLevel="0" collapsed="false">
      <c r="A7" s="25" t="s">
        <v>2690</v>
      </c>
    </row>
    <row r="8" customFormat="false" ht="23.85" hidden="false" customHeight="false" outlineLevel="0" collapsed="false">
      <c r="A8" s="25" t="s">
        <v>2691</v>
      </c>
    </row>
    <row r="9" customFormat="false" ht="15" hidden="false" customHeight="false" outlineLevel="0" collapsed="false">
      <c r="A9" s="25" t="s">
        <v>2692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2026-10-01T11:25:11Z</dcterms:created>
  <dc:creator>openpyxl</dc:creator>
  <dc:description/>
  <dc:language>en-US</dc:language>
  <cp:lastModifiedBy/>
  <dcterms:modified xsi:type="dcterms:W3CDTF">2026-10-01T11:25:12Z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