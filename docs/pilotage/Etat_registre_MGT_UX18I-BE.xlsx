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Registre MGT" sheetId="2" state="visible" r:id="rId4"/>
    <sheet name="Hors registre" sheetId="3" state="visible" r:id="rId5"/>
    <sheet name="Points ouverts" sheetId="4" state="visible" r:id="rId6"/>
    <sheet name="Recette" sheetId="5" state="visible" r:id="rId7"/>
    <sheet name="Versions" sheetId="6" state="visible" r:id="rId8"/>
  </sheets>
  <definedNames>
    <definedName function="false" hidden="true" localSheetId="2" name="_xlnm._FilterDatabase" vbProcedure="false">'Hors registre'!$A$1:$D$9</definedName>
    <definedName function="false" hidden="true" localSheetId="3" name="_xlnm._FilterDatabase" vbProcedure="false">'Points ouverts'!$A$1:$E$12</definedName>
    <definedName function="false" hidden="true" localSheetId="4" name="_xlnm._FilterDatabase" vbProcedure="false">Recette!$A$1:$H$19</definedName>
    <definedName function="false" hidden="true" localSheetId="1" name="_xlnm._FilterDatabase" vbProcedure="false">'Registre MGT'!$A$1:$G$58</definedName>
    <definedName function="false" hidden="true" localSheetId="5" name="_xlnm._FilterDatabase" vbProcedure="false">Versions!$A$1:$C$6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<sst xmlns="http://schemas.openxmlformats.org/spreadsheetml/2006/main" count="572" uniqueCount="384">
  <si>
    <t xml:space="preserve">État du registre MGT — candidate UX18I-BE (lots A, D, C, B, E)</t>
  </si>
  <si>
    <t xml:space="preserve">Base gelée UX18I_ACCESSIBILITE_OK — 1er octobre 2026</t>
  </si>
  <si>
    <t xml:space="preserve">Statut</t>
  </si>
  <si>
    <t xml:space="preserve">Nb</t>
  </si>
  <si>
    <t xml:space="preserve">Fait</t>
  </si>
  <si>
    <t xml:space="preserve">Fait — à valider</t>
  </si>
  <si>
    <t xml:space="preserve">Fait — arbitrage S5</t>
  </si>
  <si>
    <t xml:space="preserve">Fait — arbitrage par défaut</t>
  </si>
  <si>
    <t xml:space="preserve">Partiel</t>
  </si>
  <si>
    <t xml:space="preserve">Conforme — aucun patch</t>
  </si>
  <si>
    <t xml:space="preserve">Verrou préservé</t>
  </si>
  <si>
    <t xml:space="preserve">Appliqué</t>
  </si>
  <si>
    <t xml:space="preserve">Ouvert</t>
  </si>
  <si>
    <t xml:space="preserve">Bloqué — corpus manquant</t>
  </si>
  <si>
    <t xml:space="preserve">Total</t>
  </si>
  <si>
    <t xml:space="preserve">Points ouverts bloquants</t>
  </si>
  <si>
    <t xml:space="preserve">ID</t>
  </si>
  <si>
    <t xml:space="preserve">Zone</t>
  </si>
  <si>
    <t xml:space="preserve">Exigence</t>
  </si>
  <si>
    <t xml:space="preserve">Lot</t>
  </si>
  <si>
    <t xml:space="preserve">Preuve</t>
  </si>
  <si>
    <t xml:space="preserve">Reste à faire</t>
  </si>
  <si>
    <t xml:space="preserve">MGT-01</t>
  </si>
  <si>
    <t xml:space="preserve">Accueil</t>
  </si>
  <si>
    <t xml:space="preserve">Agrandir « Votre parcours en un clin d’œil »</t>
  </si>
  <si>
    <t xml:space="preserve">D</t>
  </si>
  <si>
    <t xml:space="preserve">Rapport lot D §3 + captures</t>
  </si>
  <si>
    <t xml:space="preserve">MGT-02</t>
  </si>
  <si>
    <t xml:space="preserve">Différencier les 8 défis</t>
  </si>
  <si>
    <t xml:space="preserve">MGT-03</t>
  </si>
  <si>
    <t xml:space="preserve">Tableau de bord</t>
  </si>
  <si>
    <t xml:space="preserve">Conserver les états vert/jaune</t>
  </si>
  <si>
    <t xml:space="preserve">NR</t>
  </si>
  <si>
    <t xml:space="preserve">Fonctions rendreDashboardMgt / iconeEtatMgt / libelleEtatMgt et règles CSS data-etat identiques octet par octet à la base</t>
  </si>
  <si>
    <t xml:space="preserve">Vérifier en recette les états vert / jaune après défis réels</t>
  </si>
  <si>
    <t xml:space="preserve">MGT-04</t>
  </si>
  <si>
    <t xml:space="preserve">Information initiale</t>
  </si>
  <si>
    <t xml:space="preserve">Explication déclarative unique</t>
  </si>
  <si>
    <t xml:space="preserve">A, C</t>
  </si>
  <si>
    <t xml:space="preserve">Rappels « réponses conservées » des 5 instantanés supprimés (lot C)</t>
  </si>
  <si>
    <t xml:space="preserve">Arbitrer : mentions « déclaratif » de g-pre et g-post conservées comme mentions de conformité (R15/R27)</t>
  </si>
  <si>
    <t xml:space="preserve">MGT-05</t>
  </si>
  <si>
    <t xml:space="preserve">Positionnement initial</t>
  </si>
  <si>
    <t xml:space="preserve">Conserver g-pre + radar</t>
  </si>
  <si>
    <t xml:space="preserve">g-pre : seule la référence Locke &amp; Latham convertie en « Source » (lot A)</t>
  </si>
  <si>
    <t xml:space="preserve">MGT-06</t>
  </si>
  <si>
    <t xml:space="preserve">S1 visuel</t>
  </si>
  <si>
    <t xml:space="preserve">« Homme triste » seulement s’il subsiste</t>
  </si>
  <si>
    <t xml:space="preserve">—</t>
  </si>
  <si>
    <t xml:space="preserve">« Thomas examine un dossier urgent » déjà en place</t>
  </si>
  <si>
    <t xml:space="preserve">MGT-07</t>
  </si>
  <si>
    <t xml:space="preserve">S1 Thomas</t>
  </si>
  <si>
    <t xml:space="preserve">Mini-carte au moment de la décision</t>
  </si>
  <si>
    <t xml:space="preserve">B</t>
  </si>
  <si>
    <t xml:space="preserve">Mini-cartes canoniques (bible §6) sur s1-01b, s2-03, s2-03b, s3-02, s4-02, s5-02</t>
  </si>
  <si>
    <t xml:space="preserve">MGT-08</t>
  </si>
  <si>
    <t xml:space="preserve">Personnages</t>
  </si>
  <si>
    <t xml:space="preserve">Persona seulement s’il est utile</t>
  </si>
  <si>
    <t xml:space="preserve">Pastille masquée sur « Je comprends », « Je prends du recul » et sous les mini-cartes</t>
  </si>
  <si>
    <t xml:space="preserve">MGT-09</t>
  </si>
  <si>
    <t xml:space="preserve">S1 pédagogie</t>
  </si>
  <si>
    <t xml:space="preserve">Situation et réaction avant théorie</t>
  </si>
  <si>
    <t xml:space="preserve">C</t>
  </si>
  <si>
    <t xml:space="preserve">Rapport lot C §2–3 ; composant 6 repères sur 59 écrans</t>
  </si>
  <si>
    <t xml:space="preserve">MGT-10</t>
  </si>
  <si>
    <t xml:space="preserve">Sources</t>
  </si>
  <si>
    <t xml:space="preserve">« Source » discret</t>
  </si>
  <si>
    <t xml:space="preserve">A</t>
  </si>
  <si>
    <t xml:space="preserve">Rapport lot A ; 0 occurrence de jargon sur le texte rendu</t>
  </si>
  <si>
    <t xml:space="preserve">MGT-11</t>
  </si>
  <si>
    <t xml:space="preserve">Pas de répétition</t>
  </si>
  <si>
    <t xml:space="preserve">MGT-12</t>
  </si>
  <si>
    <t xml:space="preserve">S1 wording</t>
  </si>
  <si>
    <t xml:space="preserve">Supprimer « Ce module vous appartient plus… »</t>
  </si>
  <si>
    <t xml:space="preserve">MGT-13</t>
  </si>
  <si>
    <t xml:space="preserve">S1 repères</t>
  </si>
  <si>
    <t xml:space="preserve">Sous-étapes visibles</t>
  </si>
  <si>
    <t xml:space="preserve">MGT-14</t>
  </si>
  <si>
    <t xml:space="preserve">Grammaire</t>
  </si>
  <si>
    <t xml:space="preserve">Harmoniser les appellations</t>
  </si>
  <si>
    <t xml:space="preserve">MGT-15</t>
  </si>
  <si>
    <t xml:space="preserve">Repères à emporter</t>
  </si>
  <si>
    <t xml:space="preserve">Mieux utiliser la largeur</t>
  </si>
  <si>
    <t xml:space="preserve">MGT-16</t>
  </si>
  <si>
    <t xml:space="preserve">S1 cohérence</t>
  </si>
  <si>
    <t xml:space="preserve">Léon → Thomas</t>
  </si>
  <si>
    <t xml:space="preserve">s1-02 : Léon → Thomas</t>
  </si>
  <si>
    <t xml:space="preserve">MGT-17</t>
  </si>
  <si>
    <t xml:space="preserve">S1 interaction</t>
  </si>
  <si>
    <t xml:space="preserve">Fausse interaction → décision</t>
  </si>
  <si>
    <t xml:space="preserve">E</t>
  </si>
  <si>
    <t xml:space="preserve">Décision à 3 options + feedback (s1-02)</t>
  </si>
  <si>
    <t xml:space="preserve">MGT-18</t>
  </si>
  <si>
    <t xml:space="preserve">S1 quatre rôles</t>
  </si>
  <si>
    <t xml:space="preserve">Pictogramme « 4 »</t>
  </si>
  <si>
    <t xml:space="preserve">MGT-19</t>
  </si>
  <si>
    <t xml:space="preserve">S1 classement</t>
  </si>
  <si>
    <t xml:space="preserve">Feedback sur mauvais placements</t>
  </si>
  <si>
    <t xml:space="preserve">Grille déduite mot pour mot des feedbacks existants</t>
  </si>
  <si>
    <t xml:space="preserve">Valider la grille avec Marie-Noëlle</t>
  </si>
  <si>
    <t xml:space="preserve">MGT-20</t>
  </si>
  <si>
    <t xml:space="preserve">S1 bilan</t>
  </si>
  <si>
    <t xml:space="preserve">Retirer le composant 7/10</t>
  </si>
  <si>
    <t xml:space="preserve">Rapport lot C ; textes retirés archivés en annexe</t>
  </si>
  <si>
    <t xml:space="preserve">MGT-21</t>
  </si>
  <si>
    <t xml:space="preserve">S1 slider final</t>
  </si>
  <si>
    <t xml:space="preserve">Retirer le second curseur</t>
  </si>
  <si>
    <t xml:space="preserve">MGT-22</t>
  </si>
  <si>
    <t xml:space="preserve">Fin S1</t>
  </si>
  <si>
    <t xml:space="preserve">Simplifier la clôture</t>
  </si>
  <si>
    <t xml:space="preserve">MGT-23</t>
  </si>
  <si>
    <t xml:space="preserve">Recontextualiser la réaction</t>
  </si>
  <si>
    <t xml:space="preserve">MGT-24</t>
  </si>
  <si>
    <t xml:space="preserve">Une seule question de recul</t>
  </si>
  <si>
    <t xml:space="preserve">MGT-25</t>
  </si>
  <si>
    <t xml:space="preserve">Supprimer le bilan 3 questions</t>
  </si>
  <si>
    <t xml:space="preserve">MGT-26</t>
  </si>
  <si>
    <t xml:space="preserve">Conserver les repères à emporter</t>
  </si>
  <si>
    <t xml:space="preserve">Repères à emporter présents dans les 5 clôtures</t>
  </si>
  <si>
    <t xml:space="preserve">MGT-27</t>
  </si>
  <si>
    <t xml:space="preserve">Fiche PDF facultative</t>
  </si>
  <si>
    <t xml:space="preserve">Fiche PDF facultative dans chaque clôture</t>
  </si>
  <si>
    <t xml:space="preserve">MGT-28</t>
  </si>
  <si>
    <t xml:space="preserve">Toutes séquences</t>
  </si>
  <si>
    <t xml:space="preserve">Modèle commun de clôture</t>
  </si>
  <si>
    <t xml:space="preserve">Modèle commun appliqué aux 5 clôtures</t>
  </si>
  <si>
    <t xml:space="preserve">Décider : garder ou retirer l’exercice « On vérifie dans la vraie vie » de S5 (MNL-0735–0742)</t>
  </si>
  <si>
    <t xml:space="preserve">MGT-29</t>
  </si>
  <si>
    <t xml:space="preserve">Élément incertain</t>
  </si>
  <si>
    <t xml:space="preserve">« Mme Christesse »</t>
  </si>
  <si>
    <t xml:space="preserve">Aucune occurrence de « Christesse », « Christ », « Mme », « Madame » ; hypothèse : transcription de « tristesse »</t>
  </si>
  <si>
    <t xml:space="preserve">Confirmer avec Marie-Noëlle</t>
  </si>
  <si>
    <t xml:space="preserve">MGT-30</t>
  </si>
  <si>
    <t xml:space="preserve">S2 visuels</t>
  </si>
  <si>
    <t xml:space="preserve">Portraits plus ouverts</t>
  </si>
  <si>
    <t xml:space="preserve">Portrait de Léon « sous pression » remplacé sur la carte de recrutement</t>
  </si>
  <si>
    <t xml:space="preserve">Désigner nommément les autres visuels jugés tristes</t>
  </si>
  <si>
    <t xml:space="preserve">MGT-31</t>
  </si>
  <si>
    <t xml:space="preserve">S2 Maëva</t>
  </si>
  <si>
    <t xml:space="preserve">Pas de persona avant le choix</t>
  </si>
  <si>
    <t xml:space="preserve">Profils nommés, S2 neutre avant le choix, 2 incohérences corrigées (s1-02, s3-00) ; simulateurs vérifiés</t>
  </si>
  <si>
    <t xml:space="preserve">MGT-32</t>
  </si>
  <si>
    <t xml:space="preserve">S2 profils</t>
  </si>
  <si>
    <t xml:space="preserve">A/B/C → Léon/Maëva/Thomas</t>
  </si>
  <si>
    <t xml:space="preserve">MGT-33</t>
  </si>
  <si>
    <t xml:space="preserve">S2 personnages</t>
  </si>
  <si>
    <t xml:space="preserve">Trois personnages uniquement</t>
  </si>
  <si>
    <t xml:space="preserve">3 personnages canoniques uniquement</t>
  </si>
  <si>
    <t xml:space="preserve">MGT-34</t>
  </si>
  <si>
    <t xml:space="preserve">Personas</t>
  </si>
  <si>
    <t xml:space="preserve">Cohérence avec la bible</t>
  </si>
  <si>
    <t xml:space="preserve">MGT-35</t>
  </si>
  <si>
    <t xml:space="preserve">S2 boussole</t>
  </si>
  <si>
    <t xml:space="preserve">Choix réversible</t>
  </si>
  <si>
    <t xml:space="preserve">Boussole réversible, consigne « une seule réponse, la principale »</t>
  </si>
  <si>
    <t xml:space="preserve">MGT-36</t>
  </si>
  <si>
    <t xml:space="preserve">Un seul choix explicite</t>
  </si>
  <si>
    <t xml:space="preserve">MGT-37</t>
  </si>
  <si>
    <t xml:space="preserve">S2 storytelling</t>
  </si>
  <si>
    <t xml:space="preserve">Conséquence narrative du choix</t>
  </si>
  <si>
    <t xml:space="preserve">Clé « s2-profil » dans le magasin de réponses existant ; conservé au rechargement</t>
  </si>
  <si>
    <t xml:space="preserve">Confirmer le choix technique (§8.5)</t>
  </si>
  <si>
    <t xml:space="preserve">MGT-38</t>
  </si>
  <si>
    <t xml:space="preserve">S2 personnalisation</t>
  </si>
  <si>
    <t xml:space="preserve">Propager le personnage choisi</t>
  </si>
  <si>
    <t xml:space="preserve">Prénom, portrait, 7 accords ; 0 « Maëva » résiduel en S2 avec Léon ou Thomas</t>
  </si>
  <si>
    <t xml:space="preserve">Relecture des écrans S2 avec Léon et Thomas</t>
  </si>
  <si>
    <t xml:space="preserve">MGT-39</t>
  </si>
  <si>
    <t xml:space="preserve">S2 rappel persona</t>
  </si>
  <si>
    <t xml:space="preserve">Mini-carte du choisi</t>
  </si>
  <si>
    <t xml:space="preserve">MGT-40</t>
  </si>
  <si>
    <t xml:space="preserve">S2 corpus</t>
  </si>
  <si>
    <t xml:space="preserve">Réintégrer l’apport expert manquant</t>
  </si>
  <si>
    <t xml:space="preserve">Transmettre le corpus de Marie-Noëlle ou la matrice (1 079 blocs)</t>
  </si>
  <si>
    <t xml:space="preserve">MGT-41</t>
  </si>
  <si>
    <t xml:space="preserve">Pas de prose IA à la place du corpus</t>
  </si>
  <si>
    <t xml:space="preserve">MGT-42</t>
  </si>
  <si>
    <t xml:space="preserve">S2 sources</t>
  </si>
  <si>
    <t xml:space="preserve">Supprimer « Références scientifiques… »</t>
  </si>
  <si>
    <t xml:space="preserve">MGT-43</t>
  </si>
  <si>
    <t xml:space="preserve">Jargon</t>
  </si>
  <si>
    <t xml:space="preserve">Aucun jargon de production</t>
  </si>
  <si>
    <t xml:space="preserve">MGT-44</t>
  </si>
  <si>
    <t xml:space="preserve">S2 complémentarité</t>
  </si>
  <si>
    <t xml:space="preserve">Repère gelé</t>
  </si>
  <si>
    <t xml:space="preserve">Repère localisé dans s2-04a, identique à la base : bloc « Une équipe qui se ressemble trop… » (empreinte bdc06ef1…) et carte « Complémentarité » (fbc3988a…)</t>
  </si>
  <si>
    <t xml:space="preserve">MGT-45</t>
  </si>
  <si>
    <t xml:space="preserve">Fin S2</t>
  </si>
  <si>
    <t xml:space="preserve">MGT-46</t>
  </si>
  <si>
    <t xml:space="preserve">S2 repérage</t>
  </si>
  <si>
    <t xml:space="preserve">Numéro + intitulé</t>
  </si>
  <si>
    <t xml:space="preserve">D, C</t>
  </si>
  <si>
    <t xml:space="preserve">Lot D (S2) puis généralisé au lot C (60 surtitres)</t>
  </si>
  <si>
    <t xml:space="preserve">MGT-47</t>
  </si>
  <si>
    <t xml:space="preserve">S3 ouverture</t>
  </si>
  <si>
    <t xml:space="preserve">Supprimer « Repère du corpus »</t>
  </si>
  <si>
    <t xml:space="preserve">MGT-48</t>
  </si>
  <si>
    <t xml:space="preserve">S3 visuel</t>
  </si>
  <si>
    <t xml:space="preserve">Conserver l’ouverture Maëva</t>
  </si>
  <si>
    <t xml:space="preserve">Images de mod-s3-00 identiques à la base (maeva-trois-demandes.jpg)</t>
  </si>
  <si>
    <t xml:space="preserve">MGT-49</t>
  </si>
  <si>
    <t xml:space="preserve">S3 positionnement</t>
  </si>
  <si>
    <t xml:space="preserve">Supprimer l’instantané</t>
  </si>
  <si>
    <t xml:space="preserve">MGT-50</t>
  </si>
  <si>
    <t xml:space="preserve">S3 wording</t>
  </si>
  <si>
    <t xml:space="preserve">Supprimer l’annonce des 3 questions</t>
  </si>
  <si>
    <t xml:space="preserve">MGT-51</t>
  </si>
  <si>
    <t xml:space="preserve">S3 simulateur</t>
  </si>
  <si>
    <t xml:space="preserve">Rappel Maëva</t>
  </si>
  <si>
    <t xml:space="preserve">MGT-52</t>
  </si>
  <si>
    <t xml:space="preserve">Grammaire UX</t>
  </si>
  <si>
    <t xml:space="preserve">Mêmes composants pour une même fonction</t>
  </si>
  <si>
    <t xml:space="preserve">MGT-53</t>
  </si>
  <si>
    <t xml:space="preserve">Nettoyage</t>
  </si>
  <si>
    <t xml:space="preserve">Aucune fuite de production</t>
  </si>
  <si>
    <t xml:space="preserve">MGT-54</t>
  </si>
  <si>
    <t xml:space="preserve">iPad</t>
  </si>
  <si>
    <t xml:space="preserve">Recette tablette obligatoire</t>
  </si>
  <si>
    <t xml:space="preserve">R</t>
  </si>
  <si>
    <t xml:space="preserve">Recette headless 3 viewports à chaque lot, 0 erreur</t>
  </si>
  <si>
    <t xml:space="preserve">Recette sur iPad réel (onglet Recette)</t>
  </si>
  <si>
    <t xml:space="preserve">MGT-55</t>
  </si>
  <si>
    <t xml:space="preserve">Couverture</t>
  </si>
  <si>
    <t xml:space="preserve">Matrice recalculée</t>
  </si>
  <si>
    <t xml:space="preserve">Annexe lot C prête (16 blocs, 1 285 mots, statut « modifié / arbitré »)</t>
  </si>
  <si>
    <t xml:space="preserve">Recalcul de la matrice sur UX18I-BE</t>
  </si>
  <si>
    <t xml:space="preserve">MGT-56</t>
  </si>
  <si>
    <t xml:space="preserve">Processus</t>
  </si>
  <si>
    <t xml:space="preserve">Pas de réécriture collatérale</t>
  </si>
  <si>
    <t xml:space="preserve">Chaque lot : diff rattaché aux ID, empreintes, rapport de delta</t>
  </si>
  <si>
    <t xml:space="preserve">MGT-57</t>
  </si>
  <si>
    <t xml:space="preserve">6 repères</t>
  </si>
  <si>
    <t xml:space="preserve">Identiques dans les 5 séquences</t>
  </si>
  <si>
    <t xml:space="preserve">Objet</t>
  </si>
  <si>
    <t xml:space="preserve">Lot / commentaire</t>
  </si>
  <si>
    <t xml:space="preserve">H-01</t>
  </si>
  <si>
    <t xml:space="preserve">Typographie 17 px, Arial</t>
  </si>
  <si>
    <t xml:space="preserve">H-02</t>
  </si>
  <si>
    <t xml:space="preserve">Ordre S4</t>
  </si>
  <si>
    <t xml:space="preserve">H-03</t>
  </si>
  <si>
    <t xml:space="preserve">Ordre S5</t>
  </si>
  <si>
    <t xml:space="preserve">H-04</t>
  </si>
  <si>
    <t xml:space="preserve">Instantanés S4/S5</t>
  </si>
  <si>
    <t xml:space="preserve">H-05</t>
  </si>
  <si>
    <t xml:space="preserve">Bilans S3–S5</t>
  </si>
  <si>
    <t xml:space="preserve">H-06</t>
  </si>
  <si>
    <t xml:space="preserve">Inventaire images</t>
  </si>
  <si>
    <t xml:space="preserve">B — 1 image de l’archive réemployée (scène des trois personnages)</t>
  </si>
  <si>
    <t xml:space="preserve">H-07</t>
  </si>
  <si>
    <t xml:space="preserve">Code E04 visible</t>
  </si>
  <si>
    <t xml:space="preserve">H-08</t>
  </si>
  <si>
    <t xml:space="preserve">Clés orphelines</t>
  </si>
  <si>
    <t xml:space="preserve">C — aucune lecture résiduelle</t>
  </si>
  <si>
    <t xml:space="preserve">#</t>
  </si>
  <si>
    <t xml:space="preserve">Référence</t>
  </si>
  <si>
    <t xml:space="preserve">Point</t>
  </si>
  <si>
    <t xml:space="preserve">Nature</t>
  </si>
  <si>
    <t xml:space="preserve">Qui</t>
  </si>
  <si>
    <t xml:space="preserve">1</t>
  </si>
  <si>
    <t xml:space="preserve">MGT-40 / 41 / 55</t>
  </si>
  <si>
    <t xml:space="preserve">Corpus de Marie-Noëlle ou matrice (1 079 blocs) non transmis</t>
  </si>
  <si>
    <t xml:space="preserve">Bloquant pour la livraison</t>
  </si>
  <si>
    <t xml:space="preserve">Marc → transmettre les fichiers</t>
  </si>
  <si>
    <t xml:space="preserve">2</t>
  </si>
  <si>
    <t xml:space="preserve">Recette sur iPad réel (portrait et paysage)</t>
  </si>
  <si>
    <t xml:space="preserve">Bloquant</t>
  </si>
  <si>
    <t xml:space="preserve">IFAP — onglet Recette</t>
  </si>
  <si>
    <t xml:space="preserve">3</t>
  </si>
  <si>
    <t xml:space="preserve">Reprise SCORM</t>
  </si>
  <si>
    <t xml:space="preserve">Reprise de session testée en local seulement (API SCORM absente)</t>
  </si>
  <si>
    <t xml:space="preserve">Bloquant avant mise en production</t>
  </si>
  <si>
    <t xml:space="preserve">IFAP — test Moodle après packaging</t>
  </si>
  <si>
    <t xml:space="preserve">4</t>
  </si>
  <si>
    <t xml:space="preserve">Exercice « On vérifie dans la vraie vie » de S5 : garder ou retirer</t>
  </si>
  <si>
    <t xml:space="preserve">À arbitrer</t>
  </si>
  <si>
    <t xml:space="preserve">Marc / Marie-Noëlle</t>
  </si>
  <si>
    <t xml:space="preserve">5</t>
  </si>
  <si>
    <t xml:space="preserve">Grille attendue du tri S1 déduite des feedbacks</t>
  </si>
  <si>
    <t xml:space="preserve">À valider</t>
  </si>
  <si>
    <t xml:space="preserve">Marie-Noëlle</t>
  </si>
  <si>
    <t xml:space="preserve">6</t>
  </si>
  <si>
    <t xml:space="preserve">Mémorisation du profil choisi dans le magasin de réponses existant</t>
  </si>
  <si>
    <t xml:space="preserve">À confirmer (§8.5)</t>
  </si>
  <si>
    <t xml:space="preserve">Marc</t>
  </si>
  <si>
    <t xml:space="preserve">7</t>
  </si>
  <si>
    <t xml:space="preserve">Relecture S2 avec Léon et avec Thomas ; trait « pression » de Léon en contexte d’arrivée</t>
  </si>
  <si>
    <t xml:space="preserve">8</t>
  </si>
  <si>
    <t xml:space="preserve">Autres portraits S2 jugés tristes</t>
  </si>
  <si>
    <t xml:space="preserve">À désigner</t>
  </si>
  <si>
    <t xml:space="preserve">9</t>
  </si>
  <si>
    <t xml:space="preserve">« Mme Christesse » non localisé</t>
  </si>
  <si>
    <t xml:space="preserve">10</t>
  </si>
  <si>
    <t xml:space="preserve">Mentions « déclaratif » de g-pre / g-post conservées (conformité)</t>
  </si>
  <si>
    <t xml:space="preserve">11</t>
  </si>
  <si>
    <t xml:space="preserve">Version SCORM</t>
  </si>
  <si>
    <t xml:space="preserve">À produire après validation de la candidate</t>
  </si>
  <si>
    <t xml:space="preserve">En attente</t>
  </si>
  <si>
    <t xml:space="preserve">Claude</t>
  </si>
  <si>
    <t xml:space="preserve">Scénario</t>
  </si>
  <si>
    <t xml:space="preserve">Résultat attendu</t>
  </si>
  <si>
    <t xml:space="preserve">Desktop</t>
  </si>
  <si>
    <t xml:space="preserve">iPad paysage</t>
  </si>
  <si>
    <t xml:space="preserve">iPad portrait</t>
  </si>
  <si>
    <t xml:space="preserve">Commentaire</t>
  </si>
  <si>
    <t xml:space="preserve">R-01</t>
  </si>
  <si>
    <t xml:space="preserve">Global</t>
  </si>
  <si>
    <t xml:space="preserve">Ouvrir le module, parcourir l’accueil</t>
  </si>
  <si>
    <t xml:space="preserve">Aucun texte coupé ; « Votre parcours en un clin d’œil » lisible ; 8 défis avec pictogrammes</t>
  </si>
  <si>
    <t xml:space="preserve">R-02</t>
  </si>
  <si>
    <t xml:space="preserve">S1</t>
  </si>
  <si>
    <t xml:space="preserve">Parcours complet S1 au bouton « Suivant »</t>
  </si>
  <si>
    <t xml:space="preserve">Ordre : situation → réaction → curseur → apports → « Qui parle » → « Qui fait quoi » → vraie vie → défis → relecture ; le composant 6 repères suit l’étape</t>
  </si>
  <si>
    <t xml:space="preserve">R-03</t>
  </si>
  <si>
    <t xml:space="preserve">s1-02 : choisir une mauvaise option, puis la bonne</t>
  </si>
  <si>
    <t xml:space="preserve">Feedback « À ajuster » puis « C’est le bon réflexe » ; options toujours cliquables</t>
  </si>
  <si>
    <t xml:space="preserve">R-04</t>
  </si>
  <si>
    <t xml:space="preserve">s1-03 : tout placer côté élu, valider, repositionner, revalider</t>
  </si>
  <si>
    <t xml:space="preserve">Écarts listés avec repère ; correction possible ; synthèse affichée</t>
  </si>
  <si>
    <t xml:space="preserve">R-05</t>
  </si>
  <si>
    <t xml:space="preserve">s1-06 : relecture</t>
  </si>
  <si>
    <t xml:space="preserve">Situation rappelée, première réaction, une seule question, repères, fiche PDF ouvrable</t>
  </si>
  <si>
    <t xml:space="preserve">R-06</t>
  </si>
  <si>
    <t xml:space="preserve">S2</t>
  </si>
  <si>
    <t xml:space="preserve">s2-00 à s2-02 avant choix</t>
  </si>
  <si>
    <t xml:space="preserve">Aucune pastille personnage ; ouverture avec les trois personnages</t>
  </si>
  <si>
    <t xml:space="preserve">R-07</t>
  </si>
  <si>
    <t xml:space="preserve">s2-01 : choisir Léon ; aller en s2-03</t>
  </si>
  <si>
    <t xml:space="preserve">Titre « Les premiers jours de Léon », mini-carte Léon, aucun « Maëva », accords masculins</t>
  </si>
  <si>
    <t xml:space="preserve">R-08</t>
  </si>
  <si>
    <t xml:space="preserve">Recommencer avec Thomas, puis Maëva</t>
  </si>
  <si>
    <t xml:space="preserve">Personnalisation correcte pour chacun</t>
  </si>
  <si>
    <t xml:space="preserve">R-09</t>
  </si>
  <si>
    <t xml:space="preserve">s2-02 : changer de réponse sur un axe</t>
  </si>
  <si>
    <t xml:space="preserve">Choix modifiable, aucun bouton bloqué</t>
  </si>
  <si>
    <t xml:space="preserve">R-10</t>
  </si>
  <si>
    <t xml:space="preserve">S3</t>
  </si>
  <si>
    <t xml:space="preserve">Parcours S3</t>
  </si>
  <si>
    <t xml:space="preserve">Apports avant le simulateur ; mini-carte Maëva au simulateur ; défi 5 puis relecture</t>
  </si>
  <si>
    <t xml:space="preserve">R-11</t>
  </si>
  <si>
    <t xml:space="preserve">S4</t>
  </si>
  <si>
    <t xml:space="preserve">Parcours S4</t>
  </si>
  <si>
    <t xml:space="preserve">Apports → simulateur 2 → reconnaissance → conséquence → défis 6-7 → relecture</t>
  </si>
  <si>
    <t xml:space="preserve">R-12</t>
  </si>
  <si>
    <t xml:space="preserve">S5</t>
  </si>
  <si>
    <t xml:space="preserve">Parcours S5</t>
  </si>
  <si>
    <t xml:space="preserve">Apports → faits/interprétation → trame → simulateur 3 → défi 8 → relecture → tableau de bord</t>
  </si>
  <si>
    <t xml:space="preserve">R-13</t>
  </si>
  <si>
    <t xml:space="preserve">Retour arrière depuis 3 écrans au hasard</t>
  </si>
  <si>
    <t xml:space="preserve">Écran précédent du nouvel ordre</t>
  </si>
  <si>
    <t xml:space="preserve">R-14</t>
  </si>
  <si>
    <t xml:space="preserve">Ouvrir les 6 fiches PDF</t>
  </si>
  <si>
    <t xml:space="preserve">Toutes s’ouvrent</t>
  </si>
  <si>
    <t xml:space="preserve">R-15</t>
  </si>
  <si>
    <t xml:space="preserve">Navigation clavier sur s1-02, s1-03, s2-02, une « Source »</t>
  </si>
  <si>
    <t xml:space="preserve">Focus visible, activation à Entrée / Espace</t>
  </si>
  <si>
    <t xml:space="preserve">R-16</t>
  </si>
  <si>
    <t xml:space="preserve">Moodle</t>
  </si>
  <si>
    <t xml:space="preserve">Quitter en S3, revenir</t>
  </si>
  <si>
    <t xml:space="preserve">Reprise proposée ; réponses et choix du profil S2 retrouvés</t>
  </si>
  <si>
    <t xml:space="preserve">R-17</t>
  </si>
  <si>
    <t xml:space="preserve">Terminer le module</t>
  </si>
  <si>
    <t xml:space="preserve">Complétion remontée ; aucune note / score transmis</t>
  </si>
  <si>
    <t xml:space="preserve">R-18</t>
  </si>
  <si>
    <t xml:space="preserve">Tableau de bord des défis après quelques défis</t>
  </si>
  <si>
    <t xml:space="preserve">États vert / jaune inchangés dans leur logique</t>
  </si>
  <si>
    <t xml:space="preserve">Légende : renseigner OK / KO / N/A ; pour R-16 et R-17, utiliser la colonne Desktop (test Moodle).</t>
  </si>
  <si>
    <t xml:space="preserve">Version</t>
  </si>
  <si>
    <t xml:space="preserve">Contenu</t>
  </si>
  <si>
    <t xml:space="preserve">SHA-256 index.html</t>
  </si>
  <si>
    <t xml:space="preserve">UX18I (base gelée)</t>
  </si>
  <si>
    <t xml:space="preserve">Socle officiel</t>
  </si>
  <si>
    <t xml:space="preserve">839a7c658788e43e376815dd78eccb748b67415e552a7a622f75ecc14ab06b5e</t>
  </si>
  <si>
    <t xml:space="preserve">UX18I-A</t>
  </si>
  <si>
    <t xml:space="preserve">Lot A — nettoyage, sources</t>
  </si>
  <si>
    <t xml:space="preserve">a789d4bcca78816668b8087a69061e806c21d4863225632cd521a9b74200a124</t>
  </si>
  <si>
    <t xml:space="preserve">UX18I-D</t>
  </si>
  <si>
    <t xml:space="preserve">+ Lot D — CSS premium</t>
  </si>
  <si>
    <t xml:space="preserve">b3c3cf94addba9edd7cd0e67ebde472be216f8f69b6982f8cff5278c3b5abe04</t>
  </si>
  <si>
    <t xml:space="preserve">UX18I-C</t>
  </si>
  <si>
    <t xml:space="preserve">+ Lot C — grammaire commune</t>
  </si>
  <si>
    <t xml:space="preserve">6c04ccfb0989d708ec2f80743b5c2f2ad1aaa7f6651a3d0eda4a92ae55b6dbb1</t>
  </si>
  <si>
    <t xml:space="preserve">UX18I-BE</t>
  </si>
  <si>
    <t xml:space="preserve">+ Lots B et E — personnages, interactions</t>
  </si>
  <si>
    <t xml:space="preserve">bfc7fa8772b4833ae61b02e9806c6f2f66ce4805ff05f913f15aa28e1a3ff29e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</si>
</sst>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CE8B2"/>
        </patternFill>
      </fill>
    </dxf>
    <dxf>
      <fill>
        <patternFill>
          <bgColor rgb="FFFFF4CC"/>
        </patternFill>
      </fill>
    </dxf>
    <dxf>
      <fill>
        <patternFill>
          <bgColor rgb="FFDCE6F2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4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CE8B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COUNTIF('Registre MGT'!D:D,A5)</f>
        <v>37</v>
      </c>
    </row>
    <row r="6" customFormat="false" ht="15" hidden="false" customHeight="false" outlineLevel="0" collapsed="false">
      <c r="A6" s="4" t="s">
        <v>5</v>
      </c>
      <c r="B6" s="4" t="n">
        <f aca="false">COUNTIF('Registre MGT'!D:D,A6)</f>
        <v>1</v>
      </c>
    </row>
    <row r="7" customFormat="false" ht="15" hidden="false" customHeight="false" outlineLevel="0" collapsed="false">
      <c r="A7" s="4" t="s">
        <v>6</v>
      </c>
      <c r="B7" s="4" t="n">
        <f aca="false">COUNTIF('Registre MGT'!D:D,A7)</f>
        <v>1</v>
      </c>
    </row>
    <row r="8" customFormat="false" ht="15" hidden="false" customHeight="false" outlineLevel="0" collapsed="false">
      <c r="A8" s="4" t="s">
        <v>7</v>
      </c>
      <c r="B8" s="4" t="n">
        <f aca="false">COUNTIF('Registre MGT'!D:D,A8)</f>
        <v>2</v>
      </c>
    </row>
    <row r="9" customFormat="false" ht="15" hidden="false" customHeight="false" outlineLevel="0" collapsed="false">
      <c r="A9" s="4" t="s">
        <v>8</v>
      </c>
      <c r="B9" s="4" t="n">
        <f aca="false">COUNTIF('Registre MGT'!D:D,A9)</f>
        <v>3</v>
      </c>
    </row>
    <row r="10" customFormat="false" ht="15" hidden="false" customHeight="false" outlineLevel="0" collapsed="false">
      <c r="A10" s="4" t="s">
        <v>9</v>
      </c>
      <c r="B10" s="4" t="n">
        <f aca="false">COUNTIF('Registre MGT'!D:D,A10)</f>
        <v>2</v>
      </c>
    </row>
    <row r="11" customFormat="false" ht="15" hidden="false" customHeight="false" outlineLevel="0" collapsed="false">
      <c r="A11" s="4" t="s">
        <v>10</v>
      </c>
      <c r="B11" s="4" t="n">
        <f aca="false">COUNTIF('Registre MGT'!D:D,A11)</f>
        <v>6</v>
      </c>
    </row>
    <row r="12" customFormat="false" ht="15" hidden="false" customHeight="false" outlineLevel="0" collapsed="false">
      <c r="A12" s="4" t="s">
        <v>11</v>
      </c>
      <c r="B12" s="4" t="n">
        <f aca="false">COUNTIF('Registre MGT'!D:D,A12)</f>
        <v>1</v>
      </c>
    </row>
    <row r="13" customFormat="false" ht="15" hidden="false" customHeight="false" outlineLevel="0" collapsed="false">
      <c r="A13" s="4" t="s">
        <v>12</v>
      </c>
      <c r="B13" s="4" t="n">
        <f aca="false">COUNTIF('Registre MGT'!D:D,A13)</f>
        <v>1</v>
      </c>
    </row>
    <row r="14" customFormat="false" ht="15" hidden="false" customHeight="false" outlineLevel="0" collapsed="false">
      <c r="A14" s="4" t="s">
        <v>13</v>
      </c>
      <c r="B14" s="4" t="n">
        <f aca="false">COUNTIF('Registre MGT'!D:D,A14)</f>
        <v>3</v>
      </c>
    </row>
    <row r="15" customFormat="false" ht="15" hidden="false" customHeight="false" outlineLevel="0" collapsed="false">
      <c r="A15" s="5" t="s">
        <v>14</v>
      </c>
      <c r="B15" s="5" t="n">
        <f aca="false">SUM(B5:B14)</f>
        <v>57</v>
      </c>
    </row>
    <row r="17" customFormat="false" ht="15" hidden="false" customHeight="false" outlineLevel="0" collapsed="false">
      <c r="A17" s="5" t="s">
        <v>15</v>
      </c>
      <c r="B17" s="6" t="n">
        <f aca="false">COUNTIF('Points ouverts'!D:D,"Bloquant*")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60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7" t="s">
        <v>16</v>
      </c>
      <c r="B1" s="7" t="s">
        <v>17</v>
      </c>
      <c r="C1" s="7" t="s">
        <v>18</v>
      </c>
      <c r="D1" s="7" t="s">
        <v>2</v>
      </c>
      <c r="E1" s="7" t="s">
        <v>19</v>
      </c>
      <c r="F1" s="7" t="s">
        <v>20</v>
      </c>
      <c r="G1" s="7" t="s">
        <v>21</v>
      </c>
    </row>
    <row r="2" customFormat="false" ht="23.85" hidden="false" customHeight="false" outlineLevel="0" collapsed="false">
      <c r="A2" s="8" t="s">
        <v>22</v>
      </c>
      <c r="B2" s="8" t="s">
        <v>23</v>
      </c>
      <c r="C2" s="8" t="s">
        <v>24</v>
      </c>
      <c r="D2" s="8" t="s">
        <v>4</v>
      </c>
      <c r="E2" s="8" t="s">
        <v>25</v>
      </c>
      <c r="F2" s="8" t="s">
        <v>26</v>
      </c>
      <c r="G2" s="8"/>
    </row>
    <row r="3" customFormat="false" ht="15" hidden="false" customHeight="false" outlineLevel="0" collapsed="false">
      <c r="A3" s="8" t="s">
        <v>27</v>
      </c>
      <c r="B3" s="8" t="s">
        <v>23</v>
      </c>
      <c r="C3" s="8" t="s">
        <v>28</v>
      </c>
      <c r="D3" s="8" t="s">
        <v>4</v>
      </c>
      <c r="E3" s="8" t="s">
        <v>25</v>
      </c>
      <c r="F3" s="8" t="s">
        <v>26</v>
      </c>
      <c r="G3" s="8"/>
    </row>
    <row r="4" customFormat="false" ht="23.85" hidden="false" customHeight="false" outlineLevel="0" collapsed="false">
      <c r="A4" s="8" t="s">
        <v>29</v>
      </c>
      <c r="B4" s="8" t="s">
        <v>30</v>
      </c>
      <c r="C4" s="8" t="s">
        <v>31</v>
      </c>
      <c r="D4" s="8" t="s">
        <v>10</v>
      </c>
      <c r="E4" s="8" t="s">
        <v>32</v>
      </c>
      <c r="F4" s="8" t="s">
        <v>33</v>
      </c>
      <c r="G4" s="8" t="s">
        <v>34</v>
      </c>
    </row>
    <row r="5" customFormat="false" ht="35.05" hidden="false" customHeight="false" outlineLevel="0" collapsed="false">
      <c r="A5" s="8" t="s">
        <v>35</v>
      </c>
      <c r="B5" s="8" t="s">
        <v>36</v>
      </c>
      <c r="C5" s="8" t="s">
        <v>37</v>
      </c>
      <c r="D5" s="8" t="s">
        <v>8</v>
      </c>
      <c r="E5" s="8" t="s">
        <v>38</v>
      </c>
      <c r="F5" s="8" t="s">
        <v>39</v>
      </c>
      <c r="G5" s="8" t="s">
        <v>40</v>
      </c>
    </row>
    <row r="6" customFormat="false" ht="15" hidden="false" customHeight="false" outlineLevel="0" collapsed="false">
      <c r="A6" s="8" t="s">
        <v>41</v>
      </c>
      <c r="B6" s="8" t="s">
        <v>42</v>
      </c>
      <c r="C6" s="8" t="s">
        <v>43</v>
      </c>
      <c r="D6" s="8" t="s">
        <v>10</v>
      </c>
      <c r="E6" s="8" t="s">
        <v>32</v>
      </c>
      <c r="F6" s="8" t="s">
        <v>44</v>
      </c>
      <c r="G6" s="8"/>
    </row>
    <row r="7" customFormat="false" ht="15" hidden="false" customHeight="false" outlineLevel="0" collapsed="false">
      <c r="A7" s="8" t="s">
        <v>45</v>
      </c>
      <c r="B7" s="8" t="s">
        <v>46</v>
      </c>
      <c r="C7" s="8" t="s">
        <v>47</v>
      </c>
      <c r="D7" s="8" t="s">
        <v>9</v>
      </c>
      <c r="E7" s="8" t="s">
        <v>48</v>
      </c>
      <c r="F7" s="8" t="s">
        <v>49</v>
      </c>
      <c r="G7" s="8"/>
    </row>
    <row r="8" customFormat="false" ht="23.85" hidden="false" customHeight="false" outlineLevel="0" collapsed="false">
      <c r="A8" s="8" t="s">
        <v>50</v>
      </c>
      <c r="B8" s="8" t="s">
        <v>51</v>
      </c>
      <c r="C8" s="8" t="s">
        <v>52</v>
      </c>
      <c r="D8" s="8" t="s">
        <v>4</v>
      </c>
      <c r="E8" s="8" t="s">
        <v>53</v>
      </c>
      <c r="F8" s="8" t="s">
        <v>54</v>
      </c>
      <c r="G8" s="8"/>
    </row>
    <row r="9" customFormat="false" ht="23.85" hidden="false" customHeight="false" outlineLevel="0" collapsed="false">
      <c r="A9" s="8" t="s">
        <v>55</v>
      </c>
      <c r="B9" s="8" t="s">
        <v>56</v>
      </c>
      <c r="C9" s="8" t="s">
        <v>57</v>
      </c>
      <c r="D9" s="8" t="s">
        <v>4</v>
      </c>
      <c r="E9" s="8" t="s">
        <v>53</v>
      </c>
      <c r="F9" s="8" t="s">
        <v>58</v>
      </c>
      <c r="G9" s="8"/>
    </row>
    <row r="10" customFormat="false" ht="15" hidden="false" customHeight="false" outlineLevel="0" collapsed="false">
      <c r="A10" s="8" t="s">
        <v>59</v>
      </c>
      <c r="B10" s="8" t="s">
        <v>60</v>
      </c>
      <c r="C10" s="8" t="s">
        <v>61</v>
      </c>
      <c r="D10" s="8" t="s">
        <v>4</v>
      </c>
      <c r="E10" s="8" t="s">
        <v>62</v>
      </c>
      <c r="F10" s="8" t="s">
        <v>63</v>
      </c>
      <c r="G10" s="8"/>
    </row>
    <row r="11" customFormat="false" ht="15" hidden="false" customHeight="false" outlineLevel="0" collapsed="false">
      <c r="A11" s="8" t="s">
        <v>64</v>
      </c>
      <c r="B11" s="8" t="s">
        <v>65</v>
      </c>
      <c r="C11" s="8" t="s">
        <v>66</v>
      </c>
      <c r="D11" s="8" t="s">
        <v>4</v>
      </c>
      <c r="E11" s="8" t="s">
        <v>67</v>
      </c>
      <c r="F11" s="8" t="s">
        <v>68</v>
      </c>
      <c r="G11" s="8"/>
    </row>
    <row r="12" customFormat="false" ht="15" hidden="false" customHeight="false" outlineLevel="0" collapsed="false">
      <c r="A12" s="8" t="s">
        <v>69</v>
      </c>
      <c r="B12" s="8" t="s">
        <v>65</v>
      </c>
      <c r="C12" s="8" t="s">
        <v>70</v>
      </c>
      <c r="D12" s="8" t="s">
        <v>4</v>
      </c>
      <c r="E12" s="8" t="s">
        <v>67</v>
      </c>
      <c r="F12" s="8" t="s">
        <v>68</v>
      </c>
      <c r="G12" s="8"/>
    </row>
    <row r="13" customFormat="false" ht="23.85" hidden="false" customHeight="false" outlineLevel="0" collapsed="false">
      <c r="A13" s="8" t="s">
        <v>71</v>
      </c>
      <c r="B13" s="8" t="s">
        <v>72</v>
      </c>
      <c r="C13" s="8" t="s">
        <v>73</v>
      </c>
      <c r="D13" s="8" t="s">
        <v>4</v>
      </c>
      <c r="E13" s="8" t="s">
        <v>67</v>
      </c>
      <c r="F13" s="8" t="s">
        <v>68</v>
      </c>
      <c r="G13" s="8"/>
    </row>
    <row r="14" customFormat="false" ht="15" hidden="false" customHeight="false" outlineLevel="0" collapsed="false">
      <c r="A14" s="8" t="s">
        <v>74</v>
      </c>
      <c r="B14" s="8" t="s">
        <v>75</v>
      </c>
      <c r="C14" s="8" t="s">
        <v>76</v>
      </c>
      <c r="D14" s="8" t="s">
        <v>4</v>
      </c>
      <c r="E14" s="8" t="s">
        <v>62</v>
      </c>
      <c r="F14" s="8" t="s">
        <v>63</v>
      </c>
      <c r="G14" s="8"/>
    </row>
    <row r="15" customFormat="false" ht="15" hidden="false" customHeight="false" outlineLevel="0" collapsed="false">
      <c r="A15" s="8" t="s">
        <v>77</v>
      </c>
      <c r="B15" s="8" t="s">
        <v>78</v>
      </c>
      <c r="C15" s="8" t="s">
        <v>79</v>
      </c>
      <c r="D15" s="8" t="s">
        <v>4</v>
      </c>
      <c r="E15" s="8" t="s">
        <v>62</v>
      </c>
      <c r="F15" s="8" t="s">
        <v>63</v>
      </c>
      <c r="G15" s="8"/>
    </row>
    <row r="16" customFormat="false" ht="15" hidden="false" customHeight="false" outlineLevel="0" collapsed="false">
      <c r="A16" s="8" t="s">
        <v>80</v>
      </c>
      <c r="B16" s="8" t="s">
        <v>81</v>
      </c>
      <c r="C16" s="8" t="s">
        <v>82</v>
      </c>
      <c r="D16" s="8" t="s">
        <v>4</v>
      </c>
      <c r="E16" s="8" t="s">
        <v>25</v>
      </c>
      <c r="F16" s="8" t="s">
        <v>26</v>
      </c>
      <c r="G16" s="8"/>
    </row>
    <row r="17" customFormat="false" ht="15" hidden="false" customHeight="false" outlineLevel="0" collapsed="false">
      <c r="A17" s="8" t="s">
        <v>83</v>
      </c>
      <c r="B17" s="8" t="s">
        <v>84</v>
      </c>
      <c r="C17" s="8" t="s">
        <v>85</v>
      </c>
      <c r="D17" s="8" t="s">
        <v>4</v>
      </c>
      <c r="E17" s="8" t="s">
        <v>53</v>
      </c>
      <c r="F17" s="8" t="s">
        <v>86</v>
      </c>
      <c r="G17" s="8"/>
    </row>
    <row r="18" customFormat="false" ht="15" hidden="false" customHeight="false" outlineLevel="0" collapsed="false">
      <c r="A18" s="8" t="s">
        <v>87</v>
      </c>
      <c r="B18" s="8" t="s">
        <v>88</v>
      </c>
      <c r="C18" s="8" t="s">
        <v>89</v>
      </c>
      <c r="D18" s="8" t="s">
        <v>4</v>
      </c>
      <c r="E18" s="8" t="s">
        <v>90</v>
      </c>
      <c r="F18" s="8" t="s">
        <v>91</v>
      </c>
      <c r="G18" s="8"/>
    </row>
    <row r="19" customFormat="false" ht="15" hidden="false" customHeight="false" outlineLevel="0" collapsed="false">
      <c r="A19" s="8" t="s">
        <v>92</v>
      </c>
      <c r="B19" s="8" t="s">
        <v>93</v>
      </c>
      <c r="C19" s="8" t="s">
        <v>94</v>
      </c>
      <c r="D19" s="8" t="s">
        <v>4</v>
      </c>
      <c r="E19" s="8" t="s">
        <v>25</v>
      </c>
      <c r="F19" s="8" t="s">
        <v>26</v>
      </c>
      <c r="G19" s="8"/>
    </row>
    <row r="20" customFormat="false" ht="15" hidden="false" customHeight="false" outlineLevel="0" collapsed="false">
      <c r="A20" s="8" t="s">
        <v>95</v>
      </c>
      <c r="B20" s="8" t="s">
        <v>96</v>
      </c>
      <c r="C20" s="8" t="s">
        <v>97</v>
      </c>
      <c r="D20" s="8" t="s">
        <v>5</v>
      </c>
      <c r="E20" s="8" t="s">
        <v>90</v>
      </c>
      <c r="F20" s="8" t="s">
        <v>98</v>
      </c>
      <c r="G20" s="8" t="s">
        <v>99</v>
      </c>
    </row>
    <row r="21" customFormat="false" ht="15" hidden="false" customHeight="false" outlineLevel="0" collapsed="false">
      <c r="A21" s="8" t="s">
        <v>100</v>
      </c>
      <c r="B21" s="8" t="s">
        <v>101</v>
      </c>
      <c r="C21" s="8" t="s">
        <v>102</v>
      </c>
      <c r="D21" s="8" t="s">
        <v>4</v>
      </c>
      <c r="E21" s="8" t="s">
        <v>62</v>
      </c>
      <c r="F21" s="8" t="s">
        <v>103</v>
      </c>
      <c r="G21" s="8"/>
    </row>
    <row r="22" customFormat="false" ht="15" hidden="false" customHeight="false" outlineLevel="0" collapsed="false">
      <c r="A22" s="8" t="s">
        <v>104</v>
      </c>
      <c r="B22" s="8" t="s">
        <v>105</v>
      </c>
      <c r="C22" s="8" t="s">
        <v>106</v>
      </c>
      <c r="D22" s="8" t="s">
        <v>4</v>
      </c>
      <c r="E22" s="8" t="s">
        <v>62</v>
      </c>
      <c r="F22" s="8" t="s">
        <v>103</v>
      </c>
      <c r="G22" s="8"/>
    </row>
    <row r="23" customFormat="false" ht="15" hidden="false" customHeight="false" outlineLevel="0" collapsed="false">
      <c r="A23" s="8" t="s">
        <v>107</v>
      </c>
      <c r="B23" s="8" t="s">
        <v>108</v>
      </c>
      <c r="C23" s="8" t="s">
        <v>109</v>
      </c>
      <c r="D23" s="8" t="s">
        <v>4</v>
      </c>
      <c r="E23" s="8" t="s">
        <v>62</v>
      </c>
      <c r="F23" s="8" t="s">
        <v>103</v>
      </c>
      <c r="G23" s="8"/>
    </row>
    <row r="24" customFormat="false" ht="15" hidden="false" customHeight="false" outlineLevel="0" collapsed="false">
      <c r="A24" s="8" t="s">
        <v>110</v>
      </c>
      <c r="B24" s="8" t="s">
        <v>108</v>
      </c>
      <c r="C24" s="8" t="s">
        <v>111</v>
      </c>
      <c r="D24" s="8" t="s">
        <v>4</v>
      </c>
      <c r="E24" s="8" t="s">
        <v>62</v>
      </c>
      <c r="F24" s="8" t="s">
        <v>103</v>
      </c>
      <c r="G24" s="8"/>
    </row>
    <row r="25" customFormat="false" ht="15" hidden="false" customHeight="false" outlineLevel="0" collapsed="false">
      <c r="A25" s="8" t="s">
        <v>112</v>
      </c>
      <c r="B25" s="8" t="s">
        <v>108</v>
      </c>
      <c r="C25" s="8" t="s">
        <v>113</v>
      </c>
      <c r="D25" s="8" t="s">
        <v>4</v>
      </c>
      <c r="E25" s="8" t="s">
        <v>62</v>
      </c>
      <c r="F25" s="8" t="s">
        <v>103</v>
      </c>
      <c r="G25" s="8"/>
    </row>
    <row r="26" customFormat="false" ht="15" hidden="false" customHeight="false" outlineLevel="0" collapsed="false">
      <c r="A26" s="8" t="s">
        <v>114</v>
      </c>
      <c r="B26" s="8" t="s">
        <v>108</v>
      </c>
      <c r="C26" s="8" t="s">
        <v>115</v>
      </c>
      <c r="D26" s="8" t="s">
        <v>4</v>
      </c>
      <c r="E26" s="8" t="s">
        <v>62</v>
      </c>
      <c r="F26" s="8" t="s">
        <v>103</v>
      </c>
      <c r="G26" s="8"/>
    </row>
    <row r="27" customFormat="false" ht="15" hidden="false" customHeight="false" outlineLevel="0" collapsed="false">
      <c r="A27" s="8" t="s">
        <v>116</v>
      </c>
      <c r="B27" s="8" t="s">
        <v>108</v>
      </c>
      <c r="C27" s="8" t="s">
        <v>117</v>
      </c>
      <c r="D27" s="8" t="s">
        <v>10</v>
      </c>
      <c r="E27" s="8" t="s">
        <v>32</v>
      </c>
      <c r="F27" s="8" t="s">
        <v>118</v>
      </c>
      <c r="G27" s="8"/>
    </row>
    <row r="28" customFormat="false" ht="15" hidden="false" customHeight="false" outlineLevel="0" collapsed="false">
      <c r="A28" s="8" t="s">
        <v>119</v>
      </c>
      <c r="B28" s="8" t="s">
        <v>108</v>
      </c>
      <c r="C28" s="8" t="s">
        <v>120</v>
      </c>
      <c r="D28" s="8" t="s">
        <v>9</v>
      </c>
      <c r="E28" s="8" t="s">
        <v>48</v>
      </c>
      <c r="F28" s="8" t="s">
        <v>121</v>
      </c>
      <c r="G28" s="8"/>
    </row>
    <row r="29" customFormat="false" ht="23.85" hidden="false" customHeight="false" outlineLevel="0" collapsed="false">
      <c r="A29" s="8" t="s">
        <v>122</v>
      </c>
      <c r="B29" s="8" t="s">
        <v>123</v>
      </c>
      <c r="C29" s="8" t="s">
        <v>124</v>
      </c>
      <c r="D29" s="8" t="s">
        <v>6</v>
      </c>
      <c r="E29" s="8" t="s">
        <v>62</v>
      </c>
      <c r="F29" s="8" t="s">
        <v>125</v>
      </c>
      <c r="G29" s="8" t="s">
        <v>126</v>
      </c>
    </row>
    <row r="30" customFormat="false" ht="23.85" hidden="false" customHeight="false" outlineLevel="0" collapsed="false">
      <c r="A30" s="8" t="s">
        <v>127</v>
      </c>
      <c r="B30" s="8" t="s">
        <v>128</v>
      </c>
      <c r="C30" s="8" t="s">
        <v>129</v>
      </c>
      <c r="D30" s="8" t="s">
        <v>12</v>
      </c>
      <c r="E30" s="8" t="s">
        <v>48</v>
      </c>
      <c r="F30" s="8" t="s">
        <v>130</v>
      </c>
      <c r="G30" s="8" t="s">
        <v>131</v>
      </c>
    </row>
    <row r="31" customFormat="false" ht="15" hidden="false" customHeight="false" outlineLevel="0" collapsed="false">
      <c r="A31" s="8" t="s">
        <v>132</v>
      </c>
      <c r="B31" s="8" t="s">
        <v>133</v>
      </c>
      <c r="C31" s="8" t="s">
        <v>134</v>
      </c>
      <c r="D31" s="8" t="s">
        <v>8</v>
      </c>
      <c r="E31" s="8" t="s">
        <v>53</v>
      </c>
      <c r="F31" s="8" t="s">
        <v>135</v>
      </c>
      <c r="G31" s="8" t="s">
        <v>136</v>
      </c>
    </row>
    <row r="32" customFormat="false" ht="23.85" hidden="false" customHeight="false" outlineLevel="0" collapsed="false">
      <c r="A32" s="8" t="s">
        <v>137</v>
      </c>
      <c r="B32" s="8" t="s">
        <v>138</v>
      </c>
      <c r="C32" s="8" t="s">
        <v>139</v>
      </c>
      <c r="D32" s="8" t="s">
        <v>4</v>
      </c>
      <c r="E32" s="8" t="s">
        <v>53</v>
      </c>
      <c r="F32" s="8" t="s">
        <v>140</v>
      </c>
      <c r="G32" s="8"/>
    </row>
    <row r="33" customFormat="false" ht="23.85" hidden="false" customHeight="false" outlineLevel="0" collapsed="false">
      <c r="A33" s="8" t="s">
        <v>141</v>
      </c>
      <c r="B33" s="8" t="s">
        <v>142</v>
      </c>
      <c r="C33" s="8" t="s">
        <v>143</v>
      </c>
      <c r="D33" s="8" t="s">
        <v>4</v>
      </c>
      <c r="E33" s="8" t="s">
        <v>53</v>
      </c>
      <c r="F33" s="8" t="s">
        <v>140</v>
      </c>
      <c r="G33" s="8"/>
    </row>
    <row r="34" customFormat="false" ht="15" hidden="false" customHeight="false" outlineLevel="0" collapsed="false">
      <c r="A34" s="8" t="s">
        <v>144</v>
      </c>
      <c r="B34" s="8" t="s">
        <v>145</v>
      </c>
      <c r="C34" s="8" t="s">
        <v>146</v>
      </c>
      <c r="D34" s="8" t="s">
        <v>10</v>
      </c>
      <c r="E34" s="8" t="s">
        <v>32</v>
      </c>
      <c r="F34" s="8" t="s">
        <v>147</v>
      </c>
      <c r="G34" s="8"/>
    </row>
    <row r="35" customFormat="false" ht="23.85" hidden="false" customHeight="false" outlineLevel="0" collapsed="false">
      <c r="A35" s="8" t="s">
        <v>148</v>
      </c>
      <c r="B35" s="8" t="s">
        <v>149</v>
      </c>
      <c r="C35" s="8" t="s">
        <v>150</v>
      </c>
      <c r="D35" s="8" t="s">
        <v>4</v>
      </c>
      <c r="E35" s="8" t="s">
        <v>53</v>
      </c>
      <c r="F35" s="8" t="s">
        <v>140</v>
      </c>
      <c r="G35" s="8"/>
    </row>
    <row r="36" customFormat="false" ht="15" hidden="false" customHeight="false" outlineLevel="0" collapsed="false">
      <c r="A36" s="8" t="s">
        <v>151</v>
      </c>
      <c r="B36" s="8" t="s">
        <v>152</v>
      </c>
      <c r="C36" s="8" t="s">
        <v>153</v>
      </c>
      <c r="D36" s="8" t="s">
        <v>4</v>
      </c>
      <c r="E36" s="8" t="s">
        <v>90</v>
      </c>
      <c r="F36" s="8" t="s">
        <v>154</v>
      </c>
      <c r="G36" s="8"/>
    </row>
    <row r="37" customFormat="false" ht="15" hidden="false" customHeight="false" outlineLevel="0" collapsed="false">
      <c r="A37" s="8" t="s">
        <v>155</v>
      </c>
      <c r="B37" s="8" t="s">
        <v>152</v>
      </c>
      <c r="C37" s="8" t="s">
        <v>156</v>
      </c>
      <c r="D37" s="8" t="s">
        <v>4</v>
      </c>
      <c r="E37" s="8" t="s">
        <v>90</v>
      </c>
      <c r="F37" s="8" t="s">
        <v>154</v>
      </c>
      <c r="G37" s="8"/>
    </row>
    <row r="38" customFormat="false" ht="23.85" hidden="false" customHeight="false" outlineLevel="0" collapsed="false">
      <c r="A38" s="8" t="s">
        <v>157</v>
      </c>
      <c r="B38" s="8" t="s">
        <v>158</v>
      </c>
      <c r="C38" s="8" t="s">
        <v>159</v>
      </c>
      <c r="D38" s="8" t="s">
        <v>7</v>
      </c>
      <c r="E38" s="8" t="s">
        <v>53</v>
      </c>
      <c r="F38" s="8" t="s">
        <v>160</v>
      </c>
      <c r="G38" s="8" t="s">
        <v>161</v>
      </c>
    </row>
    <row r="39" customFormat="false" ht="23.85" hidden="false" customHeight="false" outlineLevel="0" collapsed="false">
      <c r="A39" s="8" t="s">
        <v>162</v>
      </c>
      <c r="B39" s="8" t="s">
        <v>163</v>
      </c>
      <c r="C39" s="8" t="s">
        <v>164</v>
      </c>
      <c r="D39" s="8" t="s">
        <v>7</v>
      </c>
      <c r="E39" s="8" t="s">
        <v>53</v>
      </c>
      <c r="F39" s="8" t="s">
        <v>165</v>
      </c>
      <c r="G39" s="8" t="s">
        <v>166</v>
      </c>
    </row>
    <row r="40" customFormat="false" ht="23.85" hidden="false" customHeight="false" outlineLevel="0" collapsed="false">
      <c r="A40" s="8" t="s">
        <v>167</v>
      </c>
      <c r="B40" s="8" t="s">
        <v>168</v>
      </c>
      <c r="C40" s="8" t="s">
        <v>169</v>
      </c>
      <c r="D40" s="8" t="s">
        <v>4</v>
      </c>
      <c r="E40" s="8" t="s">
        <v>53</v>
      </c>
      <c r="F40" s="8" t="s">
        <v>54</v>
      </c>
      <c r="G40" s="8"/>
    </row>
    <row r="41" customFormat="false" ht="23.85" hidden="false" customHeight="false" outlineLevel="0" collapsed="false">
      <c r="A41" s="8" t="s">
        <v>170</v>
      </c>
      <c r="B41" s="8" t="s">
        <v>171</v>
      </c>
      <c r="C41" s="8" t="s">
        <v>172</v>
      </c>
      <c r="D41" s="8" t="s">
        <v>13</v>
      </c>
      <c r="E41" s="8" t="s">
        <v>48</v>
      </c>
      <c r="F41" s="8" t="s">
        <v>48</v>
      </c>
      <c r="G41" s="8" t="s">
        <v>173</v>
      </c>
    </row>
    <row r="42" customFormat="false" ht="23.85" hidden="false" customHeight="false" outlineLevel="0" collapsed="false">
      <c r="A42" s="8" t="s">
        <v>174</v>
      </c>
      <c r="B42" s="8" t="s">
        <v>171</v>
      </c>
      <c r="C42" s="8" t="s">
        <v>175</v>
      </c>
      <c r="D42" s="8" t="s">
        <v>13</v>
      </c>
      <c r="E42" s="8" t="s">
        <v>48</v>
      </c>
      <c r="F42" s="8" t="s">
        <v>48</v>
      </c>
      <c r="G42" s="8" t="s">
        <v>173</v>
      </c>
    </row>
    <row r="43" customFormat="false" ht="15" hidden="false" customHeight="false" outlineLevel="0" collapsed="false">
      <c r="A43" s="8" t="s">
        <v>176</v>
      </c>
      <c r="B43" s="8" t="s">
        <v>177</v>
      </c>
      <c r="C43" s="8" t="s">
        <v>178</v>
      </c>
      <c r="D43" s="8" t="s">
        <v>4</v>
      </c>
      <c r="E43" s="8" t="s">
        <v>67</v>
      </c>
      <c r="F43" s="8" t="s">
        <v>68</v>
      </c>
      <c r="G43" s="8"/>
    </row>
    <row r="44" customFormat="false" ht="15" hidden="false" customHeight="false" outlineLevel="0" collapsed="false">
      <c r="A44" s="8" t="s">
        <v>179</v>
      </c>
      <c r="B44" s="8" t="s">
        <v>180</v>
      </c>
      <c r="C44" s="8" t="s">
        <v>181</v>
      </c>
      <c r="D44" s="8" t="s">
        <v>4</v>
      </c>
      <c r="E44" s="8" t="s">
        <v>67</v>
      </c>
      <c r="F44" s="8" t="s">
        <v>68</v>
      </c>
      <c r="G44" s="8"/>
    </row>
    <row r="45" customFormat="false" ht="35.05" hidden="false" customHeight="false" outlineLevel="0" collapsed="false">
      <c r="A45" s="8" t="s">
        <v>182</v>
      </c>
      <c r="B45" s="8" t="s">
        <v>183</v>
      </c>
      <c r="C45" s="8" t="s">
        <v>184</v>
      </c>
      <c r="D45" s="8" t="s">
        <v>10</v>
      </c>
      <c r="E45" s="8" t="s">
        <v>32</v>
      </c>
      <c r="F45" s="8" t="s">
        <v>185</v>
      </c>
      <c r="G45" s="8"/>
    </row>
    <row r="46" customFormat="false" ht="15" hidden="false" customHeight="false" outlineLevel="0" collapsed="false">
      <c r="A46" s="8" t="s">
        <v>186</v>
      </c>
      <c r="B46" s="8" t="s">
        <v>187</v>
      </c>
      <c r="C46" s="8" t="s">
        <v>124</v>
      </c>
      <c r="D46" s="8" t="s">
        <v>4</v>
      </c>
      <c r="E46" s="8" t="s">
        <v>62</v>
      </c>
      <c r="F46" s="8" t="s">
        <v>103</v>
      </c>
      <c r="G46" s="8"/>
    </row>
    <row r="47" customFormat="false" ht="15" hidden="false" customHeight="false" outlineLevel="0" collapsed="false">
      <c r="A47" s="8" t="s">
        <v>188</v>
      </c>
      <c r="B47" s="8" t="s">
        <v>189</v>
      </c>
      <c r="C47" s="8" t="s">
        <v>190</v>
      </c>
      <c r="D47" s="8" t="s">
        <v>4</v>
      </c>
      <c r="E47" s="8" t="s">
        <v>191</v>
      </c>
      <c r="F47" s="8" t="s">
        <v>192</v>
      </c>
      <c r="G47" s="8"/>
    </row>
    <row r="48" customFormat="false" ht="15" hidden="false" customHeight="false" outlineLevel="0" collapsed="false">
      <c r="A48" s="8" t="s">
        <v>193</v>
      </c>
      <c r="B48" s="8" t="s">
        <v>194</v>
      </c>
      <c r="C48" s="8" t="s">
        <v>195</v>
      </c>
      <c r="D48" s="8" t="s">
        <v>4</v>
      </c>
      <c r="E48" s="8" t="s">
        <v>67</v>
      </c>
      <c r="F48" s="8" t="s">
        <v>68</v>
      </c>
      <c r="G48" s="8"/>
    </row>
    <row r="49" customFormat="false" ht="15" hidden="false" customHeight="false" outlineLevel="0" collapsed="false">
      <c r="A49" s="8" t="s">
        <v>196</v>
      </c>
      <c r="B49" s="8" t="s">
        <v>197</v>
      </c>
      <c r="C49" s="8" t="s">
        <v>198</v>
      </c>
      <c r="D49" s="8" t="s">
        <v>10</v>
      </c>
      <c r="E49" s="8" t="s">
        <v>32</v>
      </c>
      <c r="F49" s="8" t="s">
        <v>199</v>
      </c>
      <c r="G49" s="8"/>
    </row>
    <row r="50" customFormat="false" ht="15" hidden="false" customHeight="false" outlineLevel="0" collapsed="false">
      <c r="A50" s="8" t="s">
        <v>200</v>
      </c>
      <c r="B50" s="8" t="s">
        <v>201</v>
      </c>
      <c r="C50" s="8" t="s">
        <v>202</v>
      </c>
      <c r="D50" s="8" t="s">
        <v>4</v>
      </c>
      <c r="E50" s="8" t="s">
        <v>62</v>
      </c>
      <c r="F50" s="8" t="s">
        <v>103</v>
      </c>
      <c r="G50" s="8"/>
    </row>
    <row r="51" customFormat="false" ht="15" hidden="false" customHeight="false" outlineLevel="0" collapsed="false">
      <c r="A51" s="8" t="s">
        <v>203</v>
      </c>
      <c r="B51" s="8" t="s">
        <v>204</v>
      </c>
      <c r="C51" s="8" t="s">
        <v>205</v>
      </c>
      <c r="D51" s="8" t="s">
        <v>4</v>
      </c>
      <c r="E51" s="8" t="s">
        <v>62</v>
      </c>
      <c r="F51" s="8" t="s">
        <v>103</v>
      </c>
      <c r="G51" s="8"/>
    </row>
    <row r="52" customFormat="false" ht="23.85" hidden="false" customHeight="false" outlineLevel="0" collapsed="false">
      <c r="A52" s="8" t="s">
        <v>206</v>
      </c>
      <c r="B52" s="8" t="s">
        <v>207</v>
      </c>
      <c r="C52" s="8" t="s">
        <v>208</v>
      </c>
      <c r="D52" s="8" t="s">
        <v>4</v>
      </c>
      <c r="E52" s="8" t="s">
        <v>53</v>
      </c>
      <c r="F52" s="8" t="s">
        <v>54</v>
      </c>
      <c r="G52" s="8"/>
    </row>
    <row r="53" customFormat="false" ht="23.85" hidden="false" customHeight="false" outlineLevel="0" collapsed="false">
      <c r="A53" s="8" t="s">
        <v>209</v>
      </c>
      <c r="B53" s="8" t="s">
        <v>210</v>
      </c>
      <c r="C53" s="8" t="s">
        <v>211</v>
      </c>
      <c r="D53" s="8" t="s">
        <v>4</v>
      </c>
      <c r="E53" s="8" t="s">
        <v>62</v>
      </c>
      <c r="F53" s="8" t="s">
        <v>63</v>
      </c>
      <c r="G53" s="8"/>
    </row>
    <row r="54" customFormat="false" ht="15" hidden="false" customHeight="false" outlineLevel="0" collapsed="false">
      <c r="A54" s="8" t="s">
        <v>212</v>
      </c>
      <c r="B54" s="8" t="s">
        <v>213</v>
      </c>
      <c r="C54" s="8" t="s">
        <v>214</v>
      </c>
      <c r="D54" s="8" t="s">
        <v>4</v>
      </c>
      <c r="E54" s="8" t="s">
        <v>67</v>
      </c>
      <c r="F54" s="8" t="s">
        <v>68</v>
      </c>
      <c r="G54" s="8"/>
    </row>
    <row r="55" customFormat="false" ht="15" hidden="false" customHeight="false" outlineLevel="0" collapsed="false">
      <c r="A55" s="8" t="s">
        <v>215</v>
      </c>
      <c r="B55" s="8" t="s">
        <v>216</v>
      </c>
      <c r="C55" s="8" t="s">
        <v>217</v>
      </c>
      <c r="D55" s="8" t="s">
        <v>8</v>
      </c>
      <c r="E55" s="8" t="s">
        <v>218</v>
      </c>
      <c r="F55" s="8" t="s">
        <v>219</v>
      </c>
      <c r="G55" s="8" t="s">
        <v>220</v>
      </c>
    </row>
    <row r="56" customFormat="false" ht="23.85" hidden="false" customHeight="false" outlineLevel="0" collapsed="false">
      <c r="A56" s="8" t="s">
        <v>221</v>
      </c>
      <c r="B56" s="8" t="s">
        <v>222</v>
      </c>
      <c r="C56" s="8" t="s">
        <v>223</v>
      </c>
      <c r="D56" s="8" t="s">
        <v>13</v>
      </c>
      <c r="E56" s="8" t="s">
        <v>48</v>
      </c>
      <c r="F56" s="8" t="s">
        <v>224</v>
      </c>
      <c r="G56" s="8" t="s">
        <v>225</v>
      </c>
    </row>
    <row r="57" customFormat="false" ht="15" hidden="false" customHeight="false" outlineLevel="0" collapsed="false">
      <c r="A57" s="8" t="s">
        <v>226</v>
      </c>
      <c r="B57" s="8" t="s">
        <v>227</v>
      </c>
      <c r="C57" s="8" t="s">
        <v>228</v>
      </c>
      <c r="D57" s="8" t="s">
        <v>11</v>
      </c>
      <c r="E57" s="8" t="s">
        <v>48</v>
      </c>
      <c r="F57" s="8" t="s">
        <v>229</v>
      </c>
      <c r="G57" s="8"/>
    </row>
    <row r="58" customFormat="false" ht="15" hidden="false" customHeight="false" outlineLevel="0" collapsed="false">
      <c r="A58" s="8" t="s">
        <v>230</v>
      </c>
      <c r="B58" s="8" t="s">
        <v>231</v>
      </c>
      <c r="C58" s="8" t="s">
        <v>232</v>
      </c>
      <c r="D58" s="8" t="s">
        <v>4</v>
      </c>
      <c r="E58" s="8" t="s">
        <v>62</v>
      </c>
      <c r="F58" s="8" t="s">
        <v>63</v>
      </c>
      <c r="G58" s="8"/>
    </row>
  </sheetData>
  <autoFilter ref="A1:G58"/>
  <conditionalFormatting sqref="D2:D58">
    <cfRule type="expression" priority="2" aboveAverage="0" equalAverage="0" bottom="0" percent="0" rank="0" text="" dxfId="8">
      <formula>ISNUMBER(SEARCH("Bloqué",D2))</formula>
    </cfRule>
    <cfRule type="expression" priority="3" aboveAverage="0" equalAverage="0" bottom="0" percent="0" rank="0" text="" dxfId="9">
      <formula>ISNUMBER(SEARCH("Ouvert",D2))</formula>
    </cfRule>
    <cfRule type="expression" priority="4" aboveAverage="0" equalAverage="0" bottom="0" percent="0" rank="0" text="" dxfId="9">
      <formula>ISNUMBER(SEARCH("Partiel",D2))</formula>
    </cfRule>
    <cfRule type="expression" priority="5" aboveAverage="0" equalAverage="0" bottom="0" percent="0" rank="0" text="" dxfId="10">
      <formula>ISNUMBER(SEARCH("arbitrage",D2))</formula>
    </cfRule>
    <cfRule type="expression" priority="6" aboveAverage="0" equalAverage="0" bottom="0" percent="0" rank="0" text="" dxfId="10">
      <formula>ISNUMBER(SEARCH("valider",D2))</formula>
    </cfRule>
    <cfRule type="expression" priority="7" aboveAverage="0" equalAverage="0" bottom="0" percent="0" rank="0" text="" dxfId="11">
      <formula>ISNUMBER(SEARCH("Verrou",D2))</formula>
    </cfRule>
    <cfRule type="expression" priority="8" aboveAverage="0" equalAverage="0" bottom="0" percent="0" rank="0" text="" dxfId="12">
      <formula>ISNUMBER(SEARCH("Conforme",D2))</formula>
    </cfRule>
    <cfRule type="expression" priority="9" aboveAverage="0" equalAverage="0" bottom="0" percent="0" rank="0" text="" dxfId="12">
      <formula>D2="Fait"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16</v>
      </c>
      <c r="B1" s="7" t="s">
        <v>233</v>
      </c>
      <c r="C1" s="7" t="s">
        <v>2</v>
      </c>
      <c r="D1" s="7" t="s">
        <v>234</v>
      </c>
    </row>
    <row r="2" customFormat="false" ht="15" hidden="false" customHeight="false" outlineLevel="0" collapsed="false">
      <c r="A2" s="8" t="s">
        <v>235</v>
      </c>
      <c r="B2" s="8" t="s">
        <v>236</v>
      </c>
      <c r="C2" s="8" t="s">
        <v>4</v>
      </c>
      <c r="D2" s="8" t="s">
        <v>25</v>
      </c>
    </row>
    <row r="3" customFormat="false" ht="15" hidden="false" customHeight="false" outlineLevel="0" collapsed="false">
      <c r="A3" s="8" t="s">
        <v>237</v>
      </c>
      <c r="B3" s="8" t="s">
        <v>238</v>
      </c>
      <c r="C3" s="8" t="s">
        <v>4</v>
      </c>
      <c r="D3" s="8" t="s">
        <v>62</v>
      </c>
    </row>
    <row r="4" customFormat="false" ht="15" hidden="false" customHeight="false" outlineLevel="0" collapsed="false">
      <c r="A4" s="8" t="s">
        <v>239</v>
      </c>
      <c r="B4" s="8" t="s">
        <v>240</v>
      </c>
      <c r="C4" s="8" t="s">
        <v>4</v>
      </c>
      <c r="D4" s="8" t="s">
        <v>62</v>
      </c>
    </row>
    <row r="5" customFormat="false" ht="15" hidden="false" customHeight="false" outlineLevel="0" collapsed="false">
      <c r="A5" s="8" t="s">
        <v>241</v>
      </c>
      <c r="B5" s="8" t="s">
        <v>242</v>
      </c>
      <c r="C5" s="8" t="s">
        <v>4</v>
      </c>
      <c r="D5" s="8" t="s">
        <v>62</v>
      </c>
    </row>
    <row r="6" customFormat="false" ht="15" hidden="false" customHeight="false" outlineLevel="0" collapsed="false">
      <c r="A6" s="8" t="s">
        <v>243</v>
      </c>
      <c r="B6" s="8" t="s">
        <v>244</v>
      </c>
      <c r="C6" s="8" t="s">
        <v>4</v>
      </c>
      <c r="D6" s="8" t="s">
        <v>62</v>
      </c>
    </row>
    <row r="7" customFormat="false" ht="15" hidden="false" customHeight="false" outlineLevel="0" collapsed="false">
      <c r="A7" s="8" t="s">
        <v>245</v>
      </c>
      <c r="B7" s="8" t="s">
        <v>246</v>
      </c>
      <c r="C7" s="8" t="s">
        <v>4</v>
      </c>
      <c r="D7" s="8" t="s">
        <v>247</v>
      </c>
    </row>
    <row r="8" customFormat="false" ht="15" hidden="false" customHeight="false" outlineLevel="0" collapsed="false">
      <c r="A8" s="8" t="s">
        <v>248</v>
      </c>
      <c r="B8" s="8" t="s">
        <v>249</v>
      </c>
      <c r="C8" s="8" t="s">
        <v>4</v>
      </c>
      <c r="D8" s="8" t="s">
        <v>67</v>
      </c>
    </row>
    <row r="9" customFormat="false" ht="15" hidden="false" customHeight="false" outlineLevel="0" collapsed="false">
      <c r="A9" s="8" t="s">
        <v>250</v>
      </c>
      <c r="B9" s="8" t="s">
        <v>251</v>
      </c>
      <c r="C9" s="8" t="s">
        <v>4</v>
      </c>
      <c r="D9" s="8" t="s">
        <v>252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7" t="s">
        <v>253</v>
      </c>
      <c r="B1" s="7" t="s">
        <v>254</v>
      </c>
      <c r="C1" s="7" t="s">
        <v>255</v>
      </c>
      <c r="D1" s="7" t="s">
        <v>256</v>
      </c>
      <c r="E1" s="7" t="s">
        <v>257</v>
      </c>
    </row>
    <row r="2" customFormat="false" ht="15" hidden="false" customHeight="false" outlineLevel="0" collapsed="false">
      <c r="A2" s="8" t="s">
        <v>258</v>
      </c>
      <c r="B2" s="8" t="s">
        <v>259</v>
      </c>
      <c r="C2" s="8" t="s">
        <v>260</v>
      </c>
      <c r="D2" s="8" t="s">
        <v>261</v>
      </c>
      <c r="E2" s="8" t="s">
        <v>262</v>
      </c>
    </row>
    <row r="3" customFormat="false" ht="15" hidden="false" customHeight="false" outlineLevel="0" collapsed="false">
      <c r="A3" s="8" t="s">
        <v>263</v>
      </c>
      <c r="B3" s="8" t="s">
        <v>215</v>
      </c>
      <c r="C3" s="8" t="s">
        <v>264</v>
      </c>
      <c r="D3" s="8" t="s">
        <v>265</v>
      </c>
      <c r="E3" s="8" t="s">
        <v>266</v>
      </c>
    </row>
    <row r="4" customFormat="false" ht="23.85" hidden="false" customHeight="false" outlineLevel="0" collapsed="false">
      <c r="A4" s="8" t="s">
        <v>267</v>
      </c>
      <c r="B4" s="8" t="s">
        <v>268</v>
      </c>
      <c r="C4" s="8" t="s">
        <v>269</v>
      </c>
      <c r="D4" s="8" t="s">
        <v>270</v>
      </c>
      <c r="E4" s="8" t="s">
        <v>271</v>
      </c>
    </row>
    <row r="5" customFormat="false" ht="15" hidden="false" customHeight="false" outlineLevel="0" collapsed="false">
      <c r="A5" s="8" t="s">
        <v>272</v>
      </c>
      <c r="B5" s="8" t="s">
        <v>122</v>
      </c>
      <c r="C5" s="8" t="s">
        <v>273</v>
      </c>
      <c r="D5" s="8" t="s">
        <v>274</v>
      </c>
      <c r="E5" s="8" t="s">
        <v>275</v>
      </c>
    </row>
    <row r="6" customFormat="false" ht="15" hidden="false" customHeight="false" outlineLevel="0" collapsed="false">
      <c r="A6" s="8" t="s">
        <v>276</v>
      </c>
      <c r="B6" s="8" t="s">
        <v>95</v>
      </c>
      <c r="C6" s="8" t="s">
        <v>277</v>
      </c>
      <c r="D6" s="8" t="s">
        <v>278</v>
      </c>
      <c r="E6" s="8" t="s">
        <v>279</v>
      </c>
    </row>
    <row r="7" customFormat="false" ht="15" hidden="false" customHeight="false" outlineLevel="0" collapsed="false">
      <c r="A7" s="8" t="s">
        <v>280</v>
      </c>
      <c r="B7" s="8" t="s">
        <v>157</v>
      </c>
      <c r="C7" s="8" t="s">
        <v>281</v>
      </c>
      <c r="D7" s="8" t="s">
        <v>282</v>
      </c>
      <c r="E7" s="8" t="s">
        <v>283</v>
      </c>
    </row>
    <row r="8" customFormat="false" ht="23.85" hidden="false" customHeight="false" outlineLevel="0" collapsed="false">
      <c r="A8" s="8" t="s">
        <v>284</v>
      </c>
      <c r="B8" s="8" t="s">
        <v>162</v>
      </c>
      <c r="C8" s="8" t="s">
        <v>285</v>
      </c>
      <c r="D8" s="8" t="s">
        <v>278</v>
      </c>
      <c r="E8" s="8" t="s">
        <v>279</v>
      </c>
    </row>
    <row r="9" customFormat="false" ht="15" hidden="false" customHeight="false" outlineLevel="0" collapsed="false">
      <c r="A9" s="8" t="s">
        <v>286</v>
      </c>
      <c r="B9" s="8" t="s">
        <v>132</v>
      </c>
      <c r="C9" s="8" t="s">
        <v>287</v>
      </c>
      <c r="D9" s="8" t="s">
        <v>288</v>
      </c>
      <c r="E9" s="8" t="s">
        <v>279</v>
      </c>
    </row>
    <row r="10" customFormat="false" ht="15" hidden="false" customHeight="false" outlineLevel="0" collapsed="false">
      <c r="A10" s="8" t="s">
        <v>289</v>
      </c>
      <c r="B10" s="8" t="s">
        <v>127</v>
      </c>
      <c r="C10" s="8" t="s">
        <v>290</v>
      </c>
      <c r="D10" s="8" t="s">
        <v>12</v>
      </c>
      <c r="E10" s="8" t="s">
        <v>279</v>
      </c>
    </row>
    <row r="11" customFormat="false" ht="15" hidden="false" customHeight="false" outlineLevel="0" collapsed="false">
      <c r="A11" s="8" t="s">
        <v>291</v>
      </c>
      <c r="B11" s="8" t="s">
        <v>35</v>
      </c>
      <c r="C11" s="8" t="s">
        <v>292</v>
      </c>
      <c r="D11" s="8" t="s">
        <v>274</v>
      </c>
      <c r="E11" s="8" t="s">
        <v>283</v>
      </c>
    </row>
    <row r="12" customFormat="false" ht="15" hidden="false" customHeight="false" outlineLevel="0" collapsed="false">
      <c r="A12" s="8" t="s">
        <v>293</v>
      </c>
      <c r="B12" s="8" t="s">
        <v>294</v>
      </c>
      <c r="C12" s="8" t="s">
        <v>295</v>
      </c>
      <c r="D12" s="8" t="s">
        <v>296</v>
      </c>
      <c r="E12" s="8" t="s">
        <v>297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30"/>
  </cols>
  <sheetData>
    <row r="1" customFormat="false" ht="23.85" hidden="false" customHeight="false" outlineLevel="0" collapsed="false">
      <c r="A1" s="7" t="s">
        <v>16</v>
      </c>
      <c r="B1" s="7" t="s">
        <v>17</v>
      </c>
      <c r="C1" s="7" t="s">
        <v>298</v>
      </c>
      <c r="D1" s="7" t="s">
        <v>299</v>
      </c>
      <c r="E1" s="7" t="s">
        <v>300</v>
      </c>
      <c r="F1" s="7" t="s">
        <v>301</v>
      </c>
      <c r="G1" s="7" t="s">
        <v>302</v>
      </c>
      <c r="H1" s="7" t="s">
        <v>303</v>
      </c>
    </row>
    <row r="2" customFormat="false" ht="23.85" hidden="false" customHeight="false" outlineLevel="0" collapsed="false">
      <c r="A2" s="8" t="s">
        <v>304</v>
      </c>
      <c r="B2" s="8" t="s">
        <v>305</v>
      </c>
      <c r="C2" s="8" t="s">
        <v>306</v>
      </c>
      <c r="D2" s="8" t="s">
        <v>307</v>
      </c>
      <c r="E2" s="8"/>
      <c r="F2" s="8"/>
      <c r="G2" s="8"/>
      <c r="H2" s="8"/>
    </row>
    <row r="3" customFormat="false" ht="35.05" hidden="false" customHeight="false" outlineLevel="0" collapsed="false">
      <c r="A3" s="8" t="s">
        <v>308</v>
      </c>
      <c r="B3" s="8" t="s">
        <v>309</v>
      </c>
      <c r="C3" s="8" t="s">
        <v>310</v>
      </c>
      <c r="D3" s="8" t="s">
        <v>311</v>
      </c>
      <c r="E3" s="8"/>
      <c r="F3" s="8"/>
      <c r="G3" s="8"/>
      <c r="H3" s="8"/>
    </row>
    <row r="4" customFormat="false" ht="23.85" hidden="false" customHeight="false" outlineLevel="0" collapsed="false">
      <c r="A4" s="8" t="s">
        <v>312</v>
      </c>
      <c r="B4" s="8" t="s">
        <v>309</v>
      </c>
      <c r="C4" s="8" t="s">
        <v>313</v>
      </c>
      <c r="D4" s="8" t="s">
        <v>314</v>
      </c>
      <c r="E4" s="8"/>
      <c r="F4" s="8"/>
      <c r="G4" s="8"/>
      <c r="H4" s="8"/>
    </row>
    <row r="5" customFormat="false" ht="23.85" hidden="false" customHeight="false" outlineLevel="0" collapsed="false">
      <c r="A5" s="8" t="s">
        <v>315</v>
      </c>
      <c r="B5" s="8" t="s">
        <v>309</v>
      </c>
      <c r="C5" s="8" t="s">
        <v>316</v>
      </c>
      <c r="D5" s="8" t="s">
        <v>317</v>
      </c>
      <c r="E5" s="8"/>
      <c r="F5" s="8"/>
      <c r="G5" s="8"/>
      <c r="H5" s="8"/>
    </row>
    <row r="6" customFormat="false" ht="23.85" hidden="false" customHeight="false" outlineLevel="0" collapsed="false">
      <c r="A6" s="8" t="s">
        <v>318</v>
      </c>
      <c r="B6" s="8" t="s">
        <v>309</v>
      </c>
      <c r="C6" s="8" t="s">
        <v>319</v>
      </c>
      <c r="D6" s="8" t="s">
        <v>320</v>
      </c>
      <c r="E6" s="8"/>
      <c r="F6" s="8"/>
      <c r="G6" s="8"/>
      <c r="H6" s="8"/>
    </row>
    <row r="7" customFormat="false" ht="15" hidden="false" customHeight="false" outlineLevel="0" collapsed="false">
      <c r="A7" s="8" t="s">
        <v>321</v>
      </c>
      <c r="B7" s="8" t="s">
        <v>322</v>
      </c>
      <c r="C7" s="8" t="s">
        <v>323</v>
      </c>
      <c r="D7" s="8" t="s">
        <v>324</v>
      </c>
      <c r="E7" s="8"/>
      <c r="F7" s="8"/>
      <c r="G7" s="8"/>
      <c r="H7" s="8"/>
    </row>
    <row r="8" customFormat="false" ht="23.85" hidden="false" customHeight="false" outlineLevel="0" collapsed="false">
      <c r="A8" s="8" t="s">
        <v>325</v>
      </c>
      <c r="B8" s="8" t="s">
        <v>322</v>
      </c>
      <c r="C8" s="8" t="s">
        <v>326</v>
      </c>
      <c r="D8" s="8" t="s">
        <v>327</v>
      </c>
      <c r="E8" s="8"/>
      <c r="F8" s="8"/>
      <c r="G8" s="8"/>
      <c r="H8" s="8"/>
    </row>
    <row r="9" customFormat="false" ht="15" hidden="false" customHeight="false" outlineLevel="0" collapsed="false">
      <c r="A9" s="8" t="s">
        <v>328</v>
      </c>
      <c r="B9" s="8" t="s">
        <v>322</v>
      </c>
      <c r="C9" s="8" t="s">
        <v>329</v>
      </c>
      <c r="D9" s="8" t="s">
        <v>330</v>
      </c>
      <c r="E9" s="8"/>
      <c r="F9" s="8"/>
      <c r="G9" s="8"/>
      <c r="H9" s="8"/>
    </row>
    <row r="10" customFormat="false" ht="15" hidden="false" customHeight="false" outlineLevel="0" collapsed="false">
      <c r="A10" s="8" t="s">
        <v>331</v>
      </c>
      <c r="B10" s="8" t="s">
        <v>322</v>
      </c>
      <c r="C10" s="8" t="s">
        <v>332</v>
      </c>
      <c r="D10" s="8" t="s">
        <v>333</v>
      </c>
      <c r="E10" s="8"/>
      <c r="F10" s="8"/>
      <c r="G10" s="8"/>
      <c r="H10" s="8"/>
    </row>
    <row r="11" customFormat="false" ht="23.85" hidden="false" customHeight="false" outlineLevel="0" collapsed="false">
      <c r="A11" s="8" t="s">
        <v>334</v>
      </c>
      <c r="B11" s="8" t="s">
        <v>335</v>
      </c>
      <c r="C11" s="8" t="s">
        <v>336</v>
      </c>
      <c r="D11" s="8" t="s">
        <v>337</v>
      </c>
      <c r="E11" s="8"/>
      <c r="F11" s="8"/>
      <c r="G11" s="8"/>
      <c r="H11" s="8"/>
    </row>
    <row r="12" customFormat="false" ht="23.85" hidden="false" customHeight="false" outlineLevel="0" collapsed="false">
      <c r="A12" s="8" t="s">
        <v>338</v>
      </c>
      <c r="B12" s="8" t="s">
        <v>339</v>
      </c>
      <c r="C12" s="8" t="s">
        <v>340</v>
      </c>
      <c r="D12" s="8" t="s">
        <v>341</v>
      </c>
      <c r="E12" s="8"/>
      <c r="F12" s="8"/>
      <c r="G12" s="8"/>
      <c r="H12" s="8"/>
    </row>
    <row r="13" customFormat="false" ht="23.85" hidden="false" customHeight="false" outlineLevel="0" collapsed="false">
      <c r="A13" s="8" t="s">
        <v>342</v>
      </c>
      <c r="B13" s="8" t="s">
        <v>343</v>
      </c>
      <c r="C13" s="8" t="s">
        <v>344</v>
      </c>
      <c r="D13" s="8" t="s">
        <v>345</v>
      </c>
      <c r="E13" s="8"/>
      <c r="F13" s="8"/>
      <c r="G13" s="8"/>
      <c r="H13" s="8"/>
    </row>
    <row r="14" customFormat="false" ht="15" hidden="false" customHeight="false" outlineLevel="0" collapsed="false">
      <c r="A14" s="8" t="s">
        <v>346</v>
      </c>
      <c r="B14" s="8" t="s">
        <v>305</v>
      </c>
      <c r="C14" s="8" t="s">
        <v>347</v>
      </c>
      <c r="D14" s="8" t="s">
        <v>348</v>
      </c>
      <c r="E14" s="8"/>
      <c r="F14" s="8"/>
      <c r="G14" s="8"/>
      <c r="H14" s="8"/>
    </row>
    <row r="15" customFormat="false" ht="15" hidden="false" customHeight="false" outlineLevel="0" collapsed="false">
      <c r="A15" s="8" t="s">
        <v>349</v>
      </c>
      <c r="B15" s="8" t="s">
        <v>305</v>
      </c>
      <c r="C15" s="8" t="s">
        <v>350</v>
      </c>
      <c r="D15" s="8" t="s">
        <v>351</v>
      </c>
      <c r="E15" s="8"/>
      <c r="F15" s="8"/>
      <c r="G15" s="8"/>
      <c r="H15" s="8"/>
    </row>
    <row r="16" customFormat="false" ht="23.85" hidden="false" customHeight="false" outlineLevel="0" collapsed="false">
      <c r="A16" s="8" t="s">
        <v>352</v>
      </c>
      <c r="B16" s="8" t="s">
        <v>305</v>
      </c>
      <c r="C16" s="8" t="s">
        <v>353</v>
      </c>
      <c r="D16" s="8" t="s">
        <v>354</v>
      </c>
      <c r="E16" s="8"/>
      <c r="F16" s="8"/>
      <c r="G16" s="8"/>
      <c r="H16" s="8"/>
    </row>
    <row r="17" customFormat="false" ht="15" hidden="false" customHeight="false" outlineLevel="0" collapsed="false">
      <c r="A17" s="8" t="s">
        <v>355</v>
      </c>
      <c r="B17" s="8" t="s">
        <v>356</v>
      </c>
      <c r="C17" s="8" t="s">
        <v>357</v>
      </c>
      <c r="D17" s="8" t="s">
        <v>358</v>
      </c>
      <c r="E17" s="8"/>
      <c r="F17" s="8"/>
      <c r="G17" s="8"/>
      <c r="H17" s="8"/>
    </row>
    <row r="18" customFormat="false" ht="15" hidden="false" customHeight="false" outlineLevel="0" collapsed="false">
      <c r="A18" s="8" t="s">
        <v>359</v>
      </c>
      <c r="B18" s="8" t="s">
        <v>356</v>
      </c>
      <c r="C18" s="8" t="s">
        <v>360</v>
      </c>
      <c r="D18" s="8" t="s">
        <v>361</v>
      </c>
      <c r="E18" s="8"/>
      <c r="F18" s="8"/>
      <c r="G18" s="8"/>
      <c r="H18" s="8"/>
    </row>
    <row r="19" customFormat="false" ht="15" hidden="false" customHeight="false" outlineLevel="0" collapsed="false">
      <c r="A19" s="8" t="s">
        <v>362</v>
      </c>
      <c r="B19" s="8" t="s">
        <v>305</v>
      </c>
      <c r="C19" s="8" t="s">
        <v>363</v>
      </c>
      <c r="D19" s="8" t="s">
        <v>364</v>
      </c>
      <c r="E19" s="8"/>
      <c r="F19" s="8"/>
      <c r="G19" s="8"/>
      <c r="H19" s="8"/>
    </row>
    <row r="21" customFormat="false" ht="15" hidden="false" customHeight="false" outlineLevel="0" collapsed="false">
      <c r="A21" s="9" t="s">
        <v>365</v>
      </c>
    </row>
  </sheetData>
  <autoFilter ref="A1:H19"/>
  <dataValidations count="1">
    <dataValidation allowBlank="true" errorStyle="stop" operator="between" showDropDown="false" showErrorMessage="false" showInputMessage="false" sqref="E2:G19" type="list">
      <formula1>"OK,KO,N/A"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7" t="s">
        <v>366</v>
      </c>
      <c r="B1" s="7" t="s">
        <v>367</v>
      </c>
      <c r="C1" s="7" t="s">
        <v>368</v>
      </c>
    </row>
    <row r="2" customFormat="false" ht="15" hidden="false" customHeight="false" outlineLevel="0" collapsed="false">
      <c r="A2" s="8" t="s">
        <v>369</v>
      </c>
      <c r="B2" s="8" t="s">
        <v>370</v>
      </c>
      <c r="C2" s="8" t="s">
        <v>371</v>
      </c>
    </row>
    <row r="3" customFormat="false" ht="15" hidden="false" customHeight="false" outlineLevel="0" collapsed="false">
      <c r="A3" s="8" t="s">
        <v>372</v>
      </c>
      <c r="B3" s="8" t="s">
        <v>373</v>
      </c>
      <c r="C3" s="8" t="s">
        <v>374</v>
      </c>
    </row>
    <row r="4" customFormat="false" ht="15" hidden="false" customHeight="false" outlineLevel="0" collapsed="false">
      <c r="A4" s="8" t="s">
        <v>375</v>
      </c>
      <c r="B4" s="8" t="s">
        <v>376</v>
      </c>
      <c r="C4" s="8" t="s">
        <v>377</v>
      </c>
    </row>
    <row r="5" customFormat="false" ht="15" hidden="false" customHeight="false" outlineLevel="0" collapsed="false">
      <c r="A5" s="8" t="s">
        <v>378</v>
      </c>
      <c r="B5" s="8" t="s">
        <v>379</v>
      </c>
      <c r="C5" s="8" t="s">
        <v>380</v>
      </c>
    </row>
    <row r="6" customFormat="false" ht="15" hidden="false" customHeight="false" outlineLevel="0" collapsed="false">
      <c r="A6" s="8" t="s">
        <v>381</v>
      </c>
      <c r="B6" s="8" t="s">
        <v>382</v>
      </c>
      <c r="C6" s="8" t="s">
        <v>383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2026-10-01T01:09:41Z</dcterms:created>
  <dc:creator>openpyxl</dc:creator>
  <dc:description/>
  <dc:language>en-US</dc:language>
  <cp:lastModifiedBy/>
  <dcterms:modified xsi:type="dcterms:W3CDTF">2026-10-01T01:09:41Z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